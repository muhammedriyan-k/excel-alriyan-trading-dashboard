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RIYAN\Downloads\"/>
    </mc:Choice>
  </mc:AlternateContent>
  <xr:revisionPtr revIDLastSave="0" documentId="13_ncr:1_{82BE87E7-B60F-41E2-BDB3-C71A5122FB43}" xr6:coauthVersionLast="47" xr6:coauthVersionMax="47" xr10:uidLastSave="{00000000-0000-0000-0000-000000000000}"/>
  <bookViews>
    <workbookView xWindow="-108" yWindow="-108" windowWidth="23256" windowHeight="12456" firstSheet="1" activeTab="2" xr2:uid="{00000000-000D-0000-FFFF-FFFF00000000}"/>
  </bookViews>
  <sheets>
    <sheet name="YOUR_TASKS_README" sheetId="1" state="hidden" r:id="rId1"/>
    <sheet name="RAW_Sales_Data" sheetId="2" r:id="rId2"/>
    <sheet name="Monthly_Targets" sheetId="3" r:id="rId3"/>
    <sheet name="Expenses_Data" sheetId="4" r:id="rId4"/>
    <sheet name="Analysis" sheetId="5" r:id="rId5"/>
    <sheet name="Pivot_Analysis" sheetId="6" r:id="rId6"/>
    <sheet name="Sheet5" sheetId="13" state="hidden" r:id="rId7"/>
    <sheet name="DASHBOARD" sheetId="14" r:id="rId8"/>
  </sheets>
  <definedNames>
    <definedName name="_xlcn.WorksheetConnection_AlRiyan_Trading_Portfolio_RawData.xlsxTable1" hidden="1">Table1[]</definedName>
    <definedName name="_xlcn.WorksheetConnection_AlRiyan_Trading_Portfolio_RawData.xlsxTable2" hidden="1">Table2[]</definedName>
    <definedName name="sales_data">Table2[]</definedName>
    <definedName name="Slicer_Quarter">#N/A</definedName>
    <definedName name="Slicer_Region">#N/A</definedName>
  </definedNames>
  <calcPr calcId="191029"/>
  <pivotCaches>
    <pivotCache cacheId="0" r:id="rId9"/>
    <pivotCache cacheId="1" r:id="rId10"/>
    <pivotCache cacheId="2" r:id="rId11"/>
    <pivotCache cacheId="3" r:id="rId12"/>
    <pivotCache cacheId="4" r:id="rId13"/>
    <pivotCache cacheId="5" r:id="rId14"/>
  </pivotCaches>
  <extLst>
    <ext xmlns:x14="http://schemas.microsoft.com/office/spreadsheetml/2009/9/main" uri="{876F7934-8845-4945-9796-88D515C7AA90}">
      <x14:pivotCaches>
        <pivotCache cacheId="6"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AlRiyan_Trading_Portfolio_RawData.xlsx!Table2"/>
          <x15:modelTable id="Table1" name="Table1" connection="WorksheetConnection_AlRiyan_Trading_Portfolio_RawData.xlsx!Table1"/>
        </x15:modelTables>
        <x15:modelRelationships>
          <x15:modelRelationship fromTable="Table2" fromColumn="Month" toTable="Table1" toColumn="Month"/>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1" i="5" l="1"/>
  <c r="G21" i="5" s="1"/>
  <c r="F22" i="5"/>
  <c r="G22" i="5" s="1"/>
  <c r="F23" i="5"/>
  <c r="G23" i="5" s="1"/>
  <c r="F24" i="5"/>
  <c r="G24" i="5" s="1"/>
  <c r="F25" i="5"/>
  <c r="G25" i="5" s="1"/>
  <c r="F26" i="5"/>
  <c r="G26" i="5" s="1"/>
  <c r="F20" i="5"/>
  <c r="G20" i="5" s="1"/>
  <c r="E21" i="5"/>
  <c r="E22" i="5"/>
  <c r="E23" i="5"/>
  <c r="E24" i="5"/>
  <c r="E25" i="5"/>
  <c r="E26" i="5"/>
  <c r="E20" i="5"/>
  <c r="B24" i="5"/>
  <c r="B25" i="5"/>
  <c r="B26" i="5"/>
  <c r="B23" i="5"/>
  <c r="B10" i="5"/>
  <c r="B11" i="5"/>
  <c r="B12" i="5"/>
  <c r="B13" i="5"/>
  <c r="B9" i="5"/>
  <c r="G5" i="5" a="1"/>
  <c r="K6" i="5"/>
  <c r="K7" i="5"/>
  <c r="K8" i="5"/>
  <c r="L8" i="5" s="1"/>
  <c r="K9" i="5"/>
  <c r="K10" i="5"/>
  <c r="K11" i="5"/>
  <c r="K12" i="5"/>
  <c r="L12" i="5" s="1"/>
  <c r="K13" i="5"/>
  <c r="K14" i="5"/>
  <c r="K15" i="5"/>
  <c r="K16" i="5"/>
  <c r="K5" i="5"/>
  <c r="F5" i="3"/>
  <c r="F6" i="3"/>
  <c r="F7" i="3"/>
  <c r="F8" i="3"/>
  <c r="F9" i="3"/>
  <c r="F10" i="3"/>
  <c r="F11" i="3"/>
  <c r="F12" i="3"/>
  <c r="F13" i="3"/>
  <c r="F14" i="3"/>
  <c r="F4" i="3"/>
  <c r="E10" i="5"/>
  <c r="E11" i="5"/>
  <c r="E12" i="5"/>
  <c r="E13" i="5"/>
  <c r="E14" i="5"/>
  <c r="E15" i="5"/>
  <c r="E9" i="5"/>
  <c r="B17" i="5"/>
  <c r="B18" i="5"/>
  <c r="B19" i="5"/>
  <c r="B20" i="5"/>
  <c r="B16" i="5"/>
  <c r="B3" i="5"/>
  <c r="B2" i="5"/>
  <c r="M3" i="2"/>
  <c r="M4" i="2"/>
  <c r="N4" i="2" s="1"/>
  <c r="O4" i="2" s="1"/>
  <c r="M5" i="2"/>
  <c r="N5" i="2" s="1"/>
  <c r="O5" i="2" s="1"/>
  <c r="M6" i="2"/>
  <c r="N6" i="2" s="1"/>
  <c r="O6" i="2" s="1"/>
  <c r="M7" i="2"/>
  <c r="N7" i="2" s="1"/>
  <c r="O7" i="2" s="1"/>
  <c r="M8" i="2"/>
  <c r="N8" i="2" s="1"/>
  <c r="O8" i="2" s="1"/>
  <c r="M9" i="2"/>
  <c r="N9" i="2" s="1"/>
  <c r="O9" i="2" s="1"/>
  <c r="M10" i="2"/>
  <c r="N10" i="2" s="1"/>
  <c r="O10" i="2" s="1"/>
  <c r="M11" i="2"/>
  <c r="N11" i="2" s="1"/>
  <c r="O11" i="2" s="1"/>
  <c r="M12" i="2"/>
  <c r="N12" i="2" s="1"/>
  <c r="O12" i="2" s="1"/>
  <c r="M13" i="2"/>
  <c r="N13" i="2" s="1"/>
  <c r="O13" i="2" s="1"/>
  <c r="M14" i="2"/>
  <c r="N14" i="2" s="1"/>
  <c r="O14" i="2" s="1"/>
  <c r="M15" i="2"/>
  <c r="N15" i="2" s="1"/>
  <c r="O15" i="2" s="1"/>
  <c r="M16" i="2"/>
  <c r="N16" i="2" s="1"/>
  <c r="O16" i="2" s="1"/>
  <c r="M17" i="2"/>
  <c r="N17" i="2" s="1"/>
  <c r="O17" i="2" s="1"/>
  <c r="M18" i="2"/>
  <c r="N18" i="2" s="1"/>
  <c r="O18" i="2" s="1"/>
  <c r="M19" i="2"/>
  <c r="N19" i="2" s="1"/>
  <c r="O19" i="2" s="1"/>
  <c r="M20" i="2"/>
  <c r="N20" i="2" s="1"/>
  <c r="O20" i="2" s="1"/>
  <c r="M21" i="2"/>
  <c r="N21" i="2" s="1"/>
  <c r="O21" i="2" s="1"/>
  <c r="M22" i="2"/>
  <c r="N22" i="2" s="1"/>
  <c r="O22" i="2" s="1"/>
  <c r="M23" i="2"/>
  <c r="N23" i="2" s="1"/>
  <c r="O23" i="2" s="1"/>
  <c r="M24" i="2"/>
  <c r="N24" i="2" s="1"/>
  <c r="O24" i="2" s="1"/>
  <c r="M25" i="2"/>
  <c r="N25" i="2" s="1"/>
  <c r="O25" i="2" s="1"/>
  <c r="M26" i="2"/>
  <c r="N26" i="2" s="1"/>
  <c r="O26" i="2" s="1"/>
  <c r="M27" i="2"/>
  <c r="N27" i="2" s="1"/>
  <c r="O27" i="2" s="1"/>
  <c r="M28" i="2"/>
  <c r="N28" i="2" s="1"/>
  <c r="O28" i="2" s="1"/>
  <c r="M29" i="2"/>
  <c r="N29" i="2" s="1"/>
  <c r="O29" i="2" s="1"/>
  <c r="M30" i="2"/>
  <c r="N30" i="2" s="1"/>
  <c r="O30" i="2" s="1"/>
  <c r="M31" i="2"/>
  <c r="N31" i="2" s="1"/>
  <c r="O31" i="2" s="1"/>
  <c r="M32" i="2"/>
  <c r="N32" i="2" s="1"/>
  <c r="O32" i="2" s="1"/>
  <c r="M33" i="2"/>
  <c r="N33" i="2" s="1"/>
  <c r="O33" i="2" s="1"/>
  <c r="M34" i="2"/>
  <c r="N34" i="2" s="1"/>
  <c r="O34" i="2" s="1"/>
  <c r="M35" i="2"/>
  <c r="N35" i="2" s="1"/>
  <c r="O35" i="2" s="1"/>
  <c r="M36" i="2"/>
  <c r="N36" i="2" s="1"/>
  <c r="O36" i="2" s="1"/>
  <c r="M37" i="2"/>
  <c r="N37" i="2" s="1"/>
  <c r="O37" i="2" s="1"/>
  <c r="M38" i="2"/>
  <c r="N38" i="2" s="1"/>
  <c r="O38" i="2" s="1"/>
  <c r="M39" i="2"/>
  <c r="N39" i="2" s="1"/>
  <c r="O39" i="2" s="1"/>
  <c r="M40" i="2"/>
  <c r="N40" i="2" s="1"/>
  <c r="O40" i="2" s="1"/>
  <c r="M41" i="2"/>
  <c r="N41" i="2" s="1"/>
  <c r="O41" i="2" s="1"/>
  <c r="M42" i="2"/>
  <c r="N42" i="2" s="1"/>
  <c r="O42" i="2" s="1"/>
  <c r="M43" i="2"/>
  <c r="N43" i="2" s="1"/>
  <c r="O43" i="2" s="1"/>
  <c r="M44" i="2"/>
  <c r="N44" i="2" s="1"/>
  <c r="O44" i="2" s="1"/>
  <c r="M45" i="2"/>
  <c r="N45" i="2" s="1"/>
  <c r="O45" i="2" s="1"/>
  <c r="M46" i="2"/>
  <c r="N46" i="2" s="1"/>
  <c r="O46" i="2" s="1"/>
  <c r="M47" i="2"/>
  <c r="N47" i="2" s="1"/>
  <c r="O47" i="2" s="1"/>
  <c r="M48" i="2"/>
  <c r="N48" i="2" s="1"/>
  <c r="O48" i="2" s="1"/>
  <c r="M49" i="2"/>
  <c r="N49" i="2" s="1"/>
  <c r="O49" i="2" s="1"/>
  <c r="M50" i="2"/>
  <c r="N50" i="2" s="1"/>
  <c r="O50" i="2" s="1"/>
  <c r="M51" i="2"/>
  <c r="N51" i="2" s="1"/>
  <c r="O51" i="2" s="1"/>
  <c r="M52" i="2"/>
  <c r="N52" i="2" s="1"/>
  <c r="O52" i="2" s="1"/>
  <c r="M53" i="2"/>
  <c r="N53" i="2" s="1"/>
  <c r="O53" i="2" s="1"/>
  <c r="M54" i="2"/>
  <c r="N54" i="2" s="1"/>
  <c r="O54" i="2" s="1"/>
  <c r="M55" i="2"/>
  <c r="N55" i="2" s="1"/>
  <c r="O55" i="2" s="1"/>
  <c r="M56" i="2"/>
  <c r="N56" i="2" s="1"/>
  <c r="O56" i="2" s="1"/>
  <c r="M57" i="2"/>
  <c r="N57" i="2" s="1"/>
  <c r="O57" i="2" s="1"/>
  <c r="M58" i="2"/>
  <c r="N58" i="2" s="1"/>
  <c r="O58" i="2" s="1"/>
  <c r="M59" i="2"/>
  <c r="N59" i="2" s="1"/>
  <c r="O59" i="2" s="1"/>
  <c r="M60" i="2"/>
  <c r="N60" i="2" s="1"/>
  <c r="O60" i="2" s="1"/>
  <c r="M61" i="2"/>
  <c r="N61" i="2" s="1"/>
  <c r="O61" i="2" s="1"/>
  <c r="M62" i="2"/>
  <c r="N62" i="2" s="1"/>
  <c r="O62" i="2" s="1"/>
  <c r="M63" i="2"/>
  <c r="N63" i="2" s="1"/>
  <c r="O63" i="2" s="1"/>
  <c r="M64" i="2"/>
  <c r="N64" i="2" s="1"/>
  <c r="O64" i="2" s="1"/>
  <c r="M65" i="2"/>
  <c r="N65" i="2" s="1"/>
  <c r="O65" i="2" s="1"/>
  <c r="M66" i="2"/>
  <c r="N66" i="2" s="1"/>
  <c r="O66" i="2" s="1"/>
  <c r="M67" i="2"/>
  <c r="N67" i="2" s="1"/>
  <c r="O67" i="2" s="1"/>
  <c r="M68" i="2"/>
  <c r="N68" i="2" s="1"/>
  <c r="O68" i="2" s="1"/>
  <c r="M69" i="2"/>
  <c r="N69" i="2" s="1"/>
  <c r="O69" i="2" s="1"/>
  <c r="M70" i="2"/>
  <c r="N70" i="2" s="1"/>
  <c r="O70" i="2" s="1"/>
  <c r="M71" i="2"/>
  <c r="N71" i="2" s="1"/>
  <c r="O71" i="2" s="1"/>
  <c r="M72" i="2"/>
  <c r="N72" i="2" s="1"/>
  <c r="O72" i="2" s="1"/>
  <c r="M73" i="2"/>
  <c r="N73" i="2" s="1"/>
  <c r="O73" i="2" s="1"/>
  <c r="M74" i="2"/>
  <c r="N74" i="2" s="1"/>
  <c r="O74" i="2" s="1"/>
  <c r="M75" i="2"/>
  <c r="N75" i="2" s="1"/>
  <c r="O75" i="2" s="1"/>
  <c r="M76" i="2"/>
  <c r="N76" i="2" s="1"/>
  <c r="O76" i="2" s="1"/>
  <c r="M77" i="2"/>
  <c r="N77" i="2" s="1"/>
  <c r="O77" i="2" s="1"/>
  <c r="M78" i="2"/>
  <c r="N78" i="2" s="1"/>
  <c r="O78" i="2" s="1"/>
  <c r="M79" i="2"/>
  <c r="N79" i="2" s="1"/>
  <c r="O79" i="2" s="1"/>
  <c r="M80" i="2"/>
  <c r="N80" i="2" s="1"/>
  <c r="O80" i="2" s="1"/>
  <c r="M81" i="2"/>
  <c r="N81" i="2" s="1"/>
  <c r="O81" i="2" s="1"/>
  <c r="M82" i="2"/>
  <c r="N82" i="2" s="1"/>
  <c r="O82" i="2" s="1"/>
  <c r="M83" i="2"/>
  <c r="N83" i="2" s="1"/>
  <c r="O83" i="2" s="1"/>
  <c r="M84" i="2"/>
  <c r="N84" i="2" s="1"/>
  <c r="O84" i="2" s="1"/>
  <c r="M85" i="2"/>
  <c r="N85" i="2" s="1"/>
  <c r="O85" i="2" s="1"/>
  <c r="M86" i="2"/>
  <c r="N86" i="2" s="1"/>
  <c r="O86" i="2" s="1"/>
  <c r="M87" i="2"/>
  <c r="N87" i="2" s="1"/>
  <c r="O87" i="2" s="1"/>
  <c r="M88" i="2"/>
  <c r="N88" i="2" s="1"/>
  <c r="O88" i="2" s="1"/>
  <c r="M89" i="2"/>
  <c r="N89" i="2" s="1"/>
  <c r="O89" i="2" s="1"/>
  <c r="M90" i="2"/>
  <c r="N90" i="2" s="1"/>
  <c r="O90" i="2" s="1"/>
  <c r="M91" i="2"/>
  <c r="N91" i="2" s="1"/>
  <c r="O91" i="2" s="1"/>
  <c r="M92" i="2"/>
  <c r="N92" i="2" s="1"/>
  <c r="O92" i="2" s="1"/>
  <c r="M93" i="2"/>
  <c r="N93" i="2" s="1"/>
  <c r="O93" i="2" s="1"/>
  <c r="M94" i="2"/>
  <c r="N94" i="2" s="1"/>
  <c r="O94" i="2" s="1"/>
  <c r="M95" i="2"/>
  <c r="N95" i="2" s="1"/>
  <c r="O95" i="2" s="1"/>
  <c r="M96" i="2"/>
  <c r="N96" i="2" s="1"/>
  <c r="O96" i="2" s="1"/>
  <c r="M97" i="2"/>
  <c r="N97" i="2" s="1"/>
  <c r="O97" i="2" s="1"/>
  <c r="M98" i="2"/>
  <c r="N98" i="2" s="1"/>
  <c r="O98" i="2" s="1"/>
  <c r="M99" i="2"/>
  <c r="N99" i="2" s="1"/>
  <c r="O99" i="2" s="1"/>
  <c r="M100" i="2"/>
  <c r="N100" i="2" s="1"/>
  <c r="O100" i="2" s="1"/>
  <c r="M101" i="2"/>
  <c r="N101" i="2" s="1"/>
  <c r="O101" i="2" s="1"/>
  <c r="M102" i="2"/>
  <c r="N102" i="2" s="1"/>
  <c r="O102" i="2" s="1"/>
  <c r="M103" i="2"/>
  <c r="N103" i="2" s="1"/>
  <c r="O103" i="2" s="1"/>
  <c r="M104" i="2"/>
  <c r="N104" i="2" s="1"/>
  <c r="O104" i="2" s="1"/>
  <c r="M105" i="2"/>
  <c r="N105" i="2" s="1"/>
  <c r="O105" i="2" s="1"/>
  <c r="M106" i="2"/>
  <c r="N106" i="2" s="1"/>
  <c r="O106" i="2" s="1"/>
  <c r="M107" i="2"/>
  <c r="N107" i="2" s="1"/>
  <c r="O107" i="2" s="1"/>
  <c r="M108" i="2"/>
  <c r="N108" i="2" s="1"/>
  <c r="O108" i="2" s="1"/>
  <c r="M109" i="2"/>
  <c r="N109" i="2" s="1"/>
  <c r="O109" i="2" s="1"/>
  <c r="M110" i="2"/>
  <c r="N110" i="2" s="1"/>
  <c r="O110" i="2" s="1"/>
  <c r="M111" i="2"/>
  <c r="N111" i="2" s="1"/>
  <c r="O111" i="2" s="1"/>
  <c r="M112" i="2"/>
  <c r="N112" i="2" s="1"/>
  <c r="O112" i="2" s="1"/>
  <c r="M113" i="2"/>
  <c r="N113" i="2" s="1"/>
  <c r="O113" i="2" s="1"/>
  <c r="M114" i="2"/>
  <c r="N114" i="2" s="1"/>
  <c r="O114" i="2" s="1"/>
  <c r="M115" i="2"/>
  <c r="N115" i="2" s="1"/>
  <c r="O115" i="2" s="1"/>
  <c r="M116" i="2"/>
  <c r="N116" i="2" s="1"/>
  <c r="O116" i="2" s="1"/>
  <c r="M117" i="2"/>
  <c r="N117" i="2" s="1"/>
  <c r="O117" i="2" s="1"/>
  <c r="M118" i="2"/>
  <c r="N118" i="2" s="1"/>
  <c r="O118" i="2" s="1"/>
  <c r="M119" i="2"/>
  <c r="N119" i="2" s="1"/>
  <c r="O119" i="2" s="1"/>
  <c r="M120" i="2"/>
  <c r="N120" i="2" s="1"/>
  <c r="O120" i="2" s="1"/>
  <c r="M121" i="2"/>
  <c r="N121" i="2" s="1"/>
  <c r="O121" i="2" s="1"/>
  <c r="M122" i="2"/>
  <c r="N122" i="2" s="1"/>
  <c r="O122" i="2" s="1"/>
  <c r="M123" i="2"/>
  <c r="N123" i="2" s="1"/>
  <c r="O123" i="2" s="1"/>
  <c r="M124" i="2"/>
  <c r="N124" i="2" s="1"/>
  <c r="O124" i="2" s="1"/>
  <c r="M125" i="2"/>
  <c r="N125" i="2" s="1"/>
  <c r="O125" i="2" s="1"/>
  <c r="M126" i="2"/>
  <c r="N126" i="2" s="1"/>
  <c r="O126" i="2" s="1"/>
  <c r="M127" i="2"/>
  <c r="N127" i="2" s="1"/>
  <c r="O127" i="2" s="1"/>
  <c r="M128" i="2"/>
  <c r="N128" i="2" s="1"/>
  <c r="O128" i="2" s="1"/>
  <c r="M129" i="2"/>
  <c r="N129" i="2" s="1"/>
  <c r="O129" i="2" s="1"/>
  <c r="M130" i="2"/>
  <c r="N130" i="2" s="1"/>
  <c r="O130" i="2" s="1"/>
  <c r="M131" i="2"/>
  <c r="N131" i="2" s="1"/>
  <c r="O131" i="2" s="1"/>
  <c r="M132" i="2"/>
  <c r="N132" i="2" s="1"/>
  <c r="O132" i="2" s="1"/>
  <c r="M133" i="2"/>
  <c r="N133" i="2" s="1"/>
  <c r="O133" i="2" s="1"/>
  <c r="M134" i="2"/>
  <c r="N134" i="2" s="1"/>
  <c r="O134" i="2" s="1"/>
  <c r="M135" i="2"/>
  <c r="N135" i="2" s="1"/>
  <c r="O135" i="2" s="1"/>
  <c r="M136" i="2"/>
  <c r="N136" i="2" s="1"/>
  <c r="O136" i="2" s="1"/>
  <c r="M137" i="2"/>
  <c r="N137" i="2" s="1"/>
  <c r="O137" i="2" s="1"/>
  <c r="M138" i="2"/>
  <c r="N138" i="2" s="1"/>
  <c r="O138" i="2" s="1"/>
  <c r="M139" i="2"/>
  <c r="N139" i="2" s="1"/>
  <c r="O139" i="2" s="1"/>
  <c r="M140" i="2"/>
  <c r="N140" i="2" s="1"/>
  <c r="O140" i="2" s="1"/>
  <c r="M141" i="2"/>
  <c r="N141" i="2" s="1"/>
  <c r="O141" i="2" s="1"/>
  <c r="M142" i="2"/>
  <c r="N142" i="2" s="1"/>
  <c r="O142" i="2" s="1"/>
  <c r="M143" i="2"/>
  <c r="N143" i="2" s="1"/>
  <c r="O143" i="2" s="1"/>
  <c r="M144" i="2"/>
  <c r="N144" i="2" s="1"/>
  <c r="O144" i="2" s="1"/>
  <c r="M145" i="2"/>
  <c r="N145" i="2" s="1"/>
  <c r="O145" i="2" s="1"/>
  <c r="M146" i="2"/>
  <c r="N146" i="2" s="1"/>
  <c r="O146" i="2" s="1"/>
  <c r="M147" i="2"/>
  <c r="N147" i="2" s="1"/>
  <c r="O147" i="2" s="1"/>
  <c r="M148" i="2"/>
  <c r="N148" i="2" s="1"/>
  <c r="O148" i="2" s="1"/>
  <c r="M149" i="2"/>
  <c r="N149" i="2" s="1"/>
  <c r="O149" i="2" s="1"/>
  <c r="M150" i="2"/>
  <c r="N150" i="2" s="1"/>
  <c r="O150" i="2" s="1"/>
  <c r="M151" i="2"/>
  <c r="N151" i="2" s="1"/>
  <c r="O151" i="2" s="1"/>
  <c r="M152" i="2"/>
  <c r="N152" i="2" s="1"/>
  <c r="O152" i="2" s="1"/>
  <c r="M153" i="2"/>
  <c r="N153" i="2" s="1"/>
  <c r="O153" i="2" s="1"/>
  <c r="M154" i="2"/>
  <c r="N154" i="2" s="1"/>
  <c r="O154" i="2" s="1"/>
  <c r="M155" i="2"/>
  <c r="N155" i="2" s="1"/>
  <c r="O155" i="2" s="1"/>
  <c r="M156" i="2"/>
  <c r="N156" i="2" s="1"/>
  <c r="O156" i="2" s="1"/>
  <c r="M157" i="2"/>
  <c r="N157" i="2" s="1"/>
  <c r="O157" i="2" s="1"/>
  <c r="M158" i="2"/>
  <c r="N158" i="2" s="1"/>
  <c r="O158" i="2" s="1"/>
  <c r="M159" i="2"/>
  <c r="N159" i="2" s="1"/>
  <c r="O159" i="2" s="1"/>
  <c r="M160" i="2"/>
  <c r="N160" i="2" s="1"/>
  <c r="O160" i="2" s="1"/>
  <c r="M161" i="2"/>
  <c r="N161" i="2" s="1"/>
  <c r="O161" i="2" s="1"/>
  <c r="M162" i="2"/>
  <c r="N162" i="2" s="1"/>
  <c r="O162" i="2" s="1"/>
  <c r="M163" i="2"/>
  <c r="N163" i="2" s="1"/>
  <c r="O163" i="2" s="1"/>
  <c r="M164" i="2"/>
  <c r="N164" i="2" s="1"/>
  <c r="O164" i="2" s="1"/>
  <c r="M165" i="2"/>
  <c r="N165" i="2" s="1"/>
  <c r="O165" i="2" s="1"/>
  <c r="M166" i="2"/>
  <c r="N166" i="2" s="1"/>
  <c r="O166" i="2" s="1"/>
  <c r="M167" i="2"/>
  <c r="N167" i="2" s="1"/>
  <c r="O167" i="2" s="1"/>
  <c r="M168" i="2"/>
  <c r="N168" i="2" s="1"/>
  <c r="O168" i="2" s="1"/>
  <c r="M169" i="2"/>
  <c r="N169" i="2" s="1"/>
  <c r="O169" i="2" s="1"/>
  <c r="M170" i="2"/>
  <c r="N170" i="2" s="1"/>
  <c r="O170" i="2" s="1"/>
  <c r="M171" i="2"/>
  <c r="N171" i="2" s="1"/>
  <c r="O171" i="2" s="1"/>
  <c r="M172" i="2"/>
  <c r="N172" i="2" s="1"/>
  <c r="O172" i="2" s="1"/>
  <c r="M173" i="2"/>
  <c r="N173" i="2" s="1"/>
  <c r="O173" i="2" s="1"/>
  <c r="M174" i="2"/>
  <c r="N174" i="2" s="1"/>
  <c r="O174" i="2" s="1"/>
  <c r="I14" i="4"/>
  <c r="I13" i="4"/>
  <c r="I12" i="4"/>
  <c r="I11" i="4"/>
  <c r="I10" i="4"/>
  <c r="I9" i="4"/>
  <c r="I8" i="4"/>
  <c r="I7" i="4"/>
  <c r="I6" i="4"/>
  <c r="I5" i="4"/>
  <c r="I4" i="4"/>
  <c r="I3" i="4"/>
  <c r="D15" i="3"/>
  <c r="C15" i="3"/>
  <c r="E14" i="3"/>
  <c r="E13" i="3"/>
  <c r="E12" i="3"/>
  <c r="E11" i="3"/>
  <c r="E10" i="3"/>
  <c r="E9" i="3"/>
  <c r="E8" i="3"/>
  <c r="E7" i="3"/>
  <c r="E6" i="3"/>
  <c r="E5" i="3"/>
  <c r="E4" i="3"/>
  <c r="E3" i="3"/>
  <c r="E15" i="3" s="1"/>
  <c r="L10" i="5" l="1"/>
  <c r="L7" i="5"/>
  <c r="L13" i="5"/>
  <c r="L15" i="5"/>
  <c r="G5" i="5"/>
  <c r="H5" i="5" s="1"/>
  <c r="L9" i="5"/>
  <c r="L11" i="5"/>
  <c r="L6" i="5"/>
  <c r="L14" i="5"/>
  <c r="L16" i="5"/>
  <c r="H7" i="5"/>
  <c r="H14" i="5"/>
  <c r="H15" i="5"/>
  <c r="H16" i="5"/>
  <c r="H10" i="5"/>
  <c r="H11" i="5"/>
  <c r="H6" i="5"/>
  <c r="H8" i="5"/>
  <c r="H9" i="5"/>
  <c r="H12" i="5"/>
  <c r="H13" i="5"/>
  <c r="B4" i="5"/>
  <c r="B5" i="5" s="1"/>
  <c r="N3" i="2"/>
  <c r="O3"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2423E70-F7DA-44CD-945D-92A577C27C9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BE614DB-BBEB-4E23-98A7-D20D02A69581}" name="WorksheetConnection_AlRiyan_Trading_Portfolio_RawData.xlsx!Table1" type="102" refreshedVersion="8" minRefreshableVersion="5">
    <extLst>
      <ext xmlns:x15="http://schemas.microsoft.com/office/spreadsheetml/2010/11/main" uri="{DE250136-89BD-433C-8126-D09CA5730AF9}">
        <x15:connection id="Table1">
          <x15:rangePr sourceName="_xlcn.WorksheetConnection_AlRiyan_Trading_Portfolio_RawData.xlsxTable1"/>
        </x15:connection>
      </ext>
    </extLst>
  </connection>
  <connection id="3" xr16:uid="{F8E31C47-33CC-44DA-A1D7-162F289F2C23}" name="WorksheetConnection_AlRiyan_Trading_Portfolio_RawData.xlsx!Table2" type="102" refreshedVersion="8" minRefreshableVersion="5">
    <extLst>
      <ext xmlns:x15="http://schemas.microsoft.com/office/spreadsheetml/2010/11/main" uri="{DE250136-89BD-433C-8126-D09CA5730AF9}">
        <x15:connection id="Table2" autoDelete="1">
          <x15:rangePr sourceName="_xlcn.WorksheetConnection_AlRiyan_Trading_Portfolio_RawData.xlsxTable2"/>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<sst xmlns="http://schemas.openxmlformats.org/spreadsheetml/2006/main" count="1516" uniqueCount="355">
  <si>
    <t>📋  AL-RIYAN TRADING CO. — Excel Portfolio Project | Task Instructions for Riyan</t>
  </si>
  <si>
    <t xml:space="preserve">  PROJECT OVERVIEW</t>
  </si>
  <si>
    <t xml:space="preserve">    Company: AL-RIYAN TRADING CO. (Fictional KSA business — perfect for your GCC portfolio)</t>
  </si>
  <si>
    <t xml:space="preserve">    Data Period: FY 2023–24 (April 2023 to March 2024)</t>
  </si>
  <si>
    <t xml:space="preserve">    Sheets: RAW_Sales_Data | Monthly_Targets | Expenses_Data | Dashboard (you build this)</t>
  </si>
  <si>
    <t xml:space="preserve">    Final Goal: A fully interactive Excel Dashboard with KPIs, Charts, Slicers, and Summary</t>
  </si>
  <si>
    <t xml:space="preserve">  PHASE 1 — DATA CLEANING &amp; PREP (Sheet: RAW_Sales_Data)</t>
  </si>
  <si>
    <t xml:space="preserve">    TASK 1.1 → Freeze top 2 rows (already done). Explore all 12 columns. Understand the data.</t>
  </si>
  <si>
    <t xml:space="preserve">    TASK 1.2 → Add column M: 'Profit_SAR' = Total_Revenue_SAR - Cost_SAR (formula, not hardcode)</t>
  </si>
  <si>
    <t xml:space="preserve">    TASK 1.3 → Add column N: 'Profit_Margin_%' = Profit_SAR / Total_Revenue_SAR (format as %)</t>
  </si>
  <si>
    <t xml:space="preserve">    TASK 1.4 → Add column O: 'Performance_Flag' = IF(Profit_Margin_% &gt;= 30%, 'High','Low')</t>
  </si>
  <si>
    <t xml:space="preserve">    TASK 1.5 → Apply conditional formatting: Green fill for High, Red fill for Low in column O</t>
  </si>
  <si>
    <t xml:space="preserve">    TASK 1.6 → Create a named range 'SalesData' covering all data rows (A2 to last row)</t>
  </si>
  <si>
    <t xml:space="preserve">    TASK 1.7 → Check for blank cells. Use COUNTBLANK() to verify. Document result in a comment.</t>
  </si>
  <si>
    <t xml:space="preserve">  PHASE 2 — ANALYSIS WITH FORMULAS (New Sheet: Analysis)</t>
  </si>
  <si>
    <t xml:space="preserve">    TASK 2.1 → Create a new sheet named 'Analysis'. Build a KPI Summary table with:</t>
  </si>
  <si>
    <t xml:space="preserve">               → Total Revenue (SAR) | Total Cost (SAR) | Total Profit (SAR) | Overall Margin %</t>
  </si>
  <si>
    <t xml:space="preserve">    TASK 2.2 → Use SUMIF to calculate Total Revenue by Region (all 5 KSA regions)</t>
  </si>
  <si>
    <t xml:space="preserve">    TASK 2.3 → Use SUMIF to calculate Total Revenue by Product Category (all 5 categories)</t>
  </si>
  <si>
    <t xml:space="preserve">    TASK 2.4 → Use AVERAGEIF to find Average Order Value per Salesperson</t>
  </si>
  <si>
    <t xml:space="preserve">    TASK 2.5 → Use COUNTIF to count total orders per Quarter (Q1, Q2, Q3, Q4)</t>
  </si>
  <si>
    <t xml:space="preserve">    TASK 2.6 → Use VLOOKUP or XLOOKUP to find the revenue of any Order_ID you type</t>
  </si>
  <si>
    <t xml:space="preserve">    TASK 2.7 → Use RANK() to rank all salespersons by their total revenue</t>
  </si>
  <si>
    <t xml:space="preserve">    TASK 2.8 → Calculate Month-over-Month Revenue Growth % for each of the 12 months</t>
  </si>
  <si>
    <t xml:space="preserve">  PHASE 3 — PIVOT TABLES (New Sheet: Pivot_Analysis)</t>
  </si>
  <si>
    <t xml:space="preserve">    TASK 3.1 → Pivot Table 1: Revenue by Month (rows) and Product Category (columns)</t>
  </si>
  <si>
    <t xml:space="preserve">    TASK 3.2 → Pivot Table 2: Total Profit by Region and Quarter</t>
  </si>
  <si>
    <t xml:space="preserve">    TASK 3.3 → Pivot Table 3: Top 5 Products by Units Sold (sort descending)</t>
  </si>
  <si>
    <t xml:space="preserve">    TASK 3.4 → Pivot Table 4: Salesperson Performance — Revenue, Cost, Profit, Margin%</t>
  </si>
  <si>
    <t xml:space="preserve">    TASK 3.5 → Add slicers to at least 2 pivot tables (Region slicer, Quarter slicer)</t>
  </si>
  <si>
    <t xml:space="preserve">    TASK 3.6 → Format all pivot tables with a consistent professional style (no default colors)</t>
  </si>
  <si>
    <t xml:space="preserve">  PHASE 4 — CHARTS (Build inside Dashboard sheet)</t>
  </si>
  <si>
    <t xml:space="preserve">    CHART 1 → Line Chart: Monthly Revenue Trend (Apr-23 to Mar-24) — show target vs actual</t>
  </si>
  <si>
    <t xml:space="preserve">    CHART 2 → Clustered Bar: Revenue by Region (use Pivot Table 2 as source)</t>
  </si>
  <si>
    <t xml:space="preserve">    CHART 3 → Pie/Donut Chart: Revenue % by Product Category</t>
  </si>
  <si>
    <t xml:space="preserve">    CHART 4 → Column Chart: Profit by Quarter (Q1 to Q4)</t>
  </si>
  <si>
    <t xml:space="preserve">    CHART 5 → Bar Chart: Top 5 Salespersons by Revenue</t>
  </si>
  <si>
    <t xml:space="preserve">    NOTE: All charts must have titles, axis labels, and consistent color theme (blue/gold)</t>
  </si>
  <si>
    <t xml:space="preserve">  PHASE 5 — POWER QUERY (Advanced)</t>
  </si>
  <si>
    <t xml:space="preserve">    TASK 5.1 → Load RAW_Sales_Data into Power Query (Data &gt; Get Data &gt; From Table/Range)</t>
  </si>
  <si>
    <t xml:space="preserve">    TASK 5.2 → In Power Query: Remove duplicates, confirm data types are correct</t>
  </si>
  <si>
    <t xml:space="preserve">    TASK 5.3 → Add a custom column: 'Profit_PQ' = [Total_Revenue_SAR] - [Cost_SAR]</t>
  </si>
  <si>
    <t xml:space="preserve">    TASK 5.4 → Group by Region: Sum of Revenue per Region — load to new sheet 'PQ_Region_Summary'</t>
  </si>
  <si>
    <t xml:space="preserve">    TASK 5.5 → Group by Month: Sum of Revenue per Month — load to 'PQ_Monthly_Summary'</t>
  </si>
  <si>
    <t xml:space="preserve">    TASK 5.6 → Connect PQ_Monthly_Summary to your Dashboard chart (dynamic refresh test)</t>
  </si>
  <si>
    <t xml:space="preserve">  PHASE 6 — FINAL DASHBOARD (New Sheet: DASHBOARD)</t>
  </si>
  <si>
    <t xml:space="preserve">    Your dashboard must include ALL of the following elements:</t>
  </si>
  <si>
    <t xml:space="preserve">    → Company name header: AL-RIYAN TRADING CO. | FY 2023-24 Performance Report</t>
  </si>
  <si>
    <t xml:space="preserve">    → KPI Cards (4 cards): Total Revenue | Total Profit | Best Month | Best Region</t>
  </si>
  <si>
    <t xml:space="preserve">    → Chart 1: Monthly Revenue vs Target (Line Chart)</t>
  </si>
  <si>
    <t xml:space="preserve">    → Chart 2: Revenue by Region (Bar Chart)</t>
  </si>
  <si>
    <t xml:space="preserve">    → Chart 3: Category Revenue Split (Donut Chart)</t>
  </si>
  <si>
    <t xml:space="preserve">    → Chart 4: Quarterly Profit Trend (Column Chart)</t>
  </si>
  <si>
    <t xml:space="preserve">    → Slicers: Quarter Slicer + Region Slicer (connected to all pivot charts)</t>
  </si>
  <si>
    <t xml:space="preserve">    → Color theme: Dark Blue (#1F3864) + Gold (#C9A84C) — matches your portfolio website!</t>
  </si>
  <si>
    <t xml:space="preserve">    → Remove gridlines. Remove row/column headers. Make it look like a real BI tool.</t>
  </si>
  <si>
    <t xml:space="preserve">  PORTFOLIO SUBMISSION CHECKLIST</t>
  </si>
  <si>
    <t xml:space="preserve">    ✅ All formula cells use references — NO hardcoded calculated values</t>
  </si>
  <si>
    <t xml:space="preserve">    ✅ Zero formula errors (#REF!, #DIV/0!, #VALUE!, #N/A) across all sheets</t>
  </si>
  <si>
    <t xml:space="preserve">    ✅ Dashboard is clean, professional, printable on one landscape page</t>
  </si>
  <si>
    <t xml:space="preserve">    ✅ File saved as: Riyan_AlRiyan_Trading_Dashboard.xlsx</t>
  </si>
  <si>
    <t xml:space="preserve">    ✅ Take a screenshot of your Dashboard — upload to GitHub portfolio project folder</t>
  </si>
  <si>
    <t xml:space="preserve">    ✅ Write 4–5 bullet point findings in your portfolio project description</t>
  </si>
  <si>
    <t xml:space="preserve">    ✅ Example finding: 'Riyadh region contributed 34% of total annual revenue'</t>
  </si>
  <si>
    <t>AL-RIYAN TRADING CO. — Monthly Sales Raw Data (FY 2023–24) | KSA Market</t>
  </si>
  <si>
    <t>Order_ID</t>
  </si>
  <si>
    <t>Date</t>
  </si>
  <si>
    <t>Month</t>
  </si>
  <si>
    <t>Quarter</t>
  </si>
  <si>
    <t>Salesperson</t>
  </si>
  <si>
    <t>Region</t>
  </si>
  <si>
    <t>Product_Category</t>
  </si>
  <si>
    <t>Product_Name</t>
  </si>
  <si>
    <t>Units_Sold</t>
  </si>
  <si>
    <t>Unit_Price_SAR</t>
  </si>
  <si>
    <t>Total_Revenue_SAR</t>
  </si>
  <si>
    <t>Cost_SAR</t>
  </si>
  <si>
    <t>ORD-1001</t>
  </si>
  <si>
    <t>Apr-23</t>
  </si>
  <si>
    <t>Q4</t>
  </si>
  <si>
    <t>Fatima Hassan</t>
  </si>
  <si>
    <t>Jeddah</t>
  </si>
  <si>
    <t>Electronics</t>
  </si>
  <si>
    <t>Logitech Keyboard</t>
  </si>
  <si>
    <t>ORD-1002</t>
  </si>
  <si>
    <t>Omar Siddiqui</t>
  </si>
  <si>
    <t>Riyadh</t>
  </si>
  <si>
    <t>Webcam</t>
  </si>
  <si>
    <t>ORD-1003</t>
  </si>
  <si>
    <t>Laptop HP</t>
  </si>
  <si>
    <t>ORD-1004</t>
  </si>
  <si>
    <t>Riyan K</t>
  </si>
  <si>
    <t>ORD-1005</t>
  </si>
  <si>
    <t>Sara Al-Otaibi</t>
  </si>
  <si>
    <t>IT Equipment</t>
  </si>
  <si>
    <t>RAM Module</t>
  </si>
  <si>
    <t>ORD-1006</t>
  </si>
  <si>
    <t>Khalid Nasser</t>
  </si>
  <si>
    <t>Mecca</t>
  </si>
  <si>
    <t>Dell Monitor</t>
  </si>
  <si>
    <t>ORD-1007</t>
  </si>
  <si>
    <t>Ahmed Al-Ghamdi</t>
  </si>
  <si>
    <t>Office Supplies</t>
  </si>
  <si>
    <t>Pen Box</t>
  </si>
  <si>
    <t>ORD-1008</t>
  </si>
  <si>
    <t>Medina</t>
  </si>
  <si>
    <t>Furniture</t>
  </si>
  <si>
    <t>Filing Cabinet</t>
  </si>
  <si>
    <t>ORD-1009</t>
  </si>
  <si>
    <t>Stationery</t>
  </si>
  <si>
    <t>Scissors</t>
  </si>
  <si>
    <t>ORD-1010</t>
  </si>
  <si>
    <t>Dammam</t>
  </si>
  <si>
    <t>Whiteboard</t>
  </si>
  <si>
    <t>ORD-1011</t>
  </si>
  <si>
    <t>Nora Bakr</t>
  </si>
  <si>
    <t>ORD-1012</t>
  </si>
  <si>
    <t>May-23</t>
  </si>
  <si>
    <t>USB Hub</t>
  </si>
  <si>
    <t>ORD-1013</t>
  </si>
  <si>
    <t>Standing Desk</t>
  </si>
  <si>
    <t>ORD-1014</t>
  </si>
  <si>
    <t>Office Chair</t>
  </si>
  <si>
    <t>ORD-1015</t>
  </si>
  <si>
    <t>Stapler</t>
  </si>
  <si>
    <t>ORD-1016</t>
  </si>
  <si>
    <t>Wi-Fi Router</t>
  </si>
  <si>
    <t>ORD-1017</t>
  </si>
  <si>
    <t>ORD-1018</t>
  </si>
  <si>
    <t>ORD-1019</t>
  </si>
  <si>
    <t>Binder Clips</t>
  </si>
  <si>
    <t>ORD-1020</t>
  </si>
  <si>
    <t>ORD-1021</t>
  </si>
  <si>
    <t>ORD-1022</t>
  </si>
  <si>
    <t>ORD-1023</t>
  </si>
  <si>
    <t>ORD-1024</t>
  </si>
  <si>
    <t>ORD-1025</t>
  </si>
  <si>
    <t>Jun-23</t>
  </si>
  <si>
    <t>External SSD</t>
  </si>
  <si>
    <t>ORD-1026</t>
  </si>
  <si>
    <t>ORD-1027</t>
  </si>
  <si>
    <t>ORD-1028</t>
  </si>
  <si>
    <t>ORD-1029</t>
  </si>
  <si>
    <t>ORD-1030</t>
  </si>
  <si>
    <t>Sticky Notes</t>
  </si>
  <si>
    <t>ORD-1031</t>
  </si>
  <si>
    <t>Notebook</t>
  </si>
  <si>
    <t>ORD-1032</t>
  </si>
  <si>
    <t>ORD-1033</t>
  </si>
  <si>
    <t>ORD-1034</t>
  </si>
  <si>
    <t>ORD-1035</t>
  </si>
  <si>
    <t>ORD-1036</t>
  </si>
  <si>
    <t>ORD-1037</t>
  </si>
  <si>
    <t>ORD-1038</t>
  </si>
  <si>
    <t>ORD-1039</t>
  </si>
  <si>
    <t>ORD-1040</t>
  </si>
  <si>
    <t>ORD-1041</t>
  </si>
  <si>
    <t>ORD-1042</t>
  </si>
  <si>
    <t>Jul-23</t>
  </si>
  <si>
    <t>Q1</t>
  </si>
  <si>
    <t>ORD-1043</t>
  </si>
  <si>
    <t>Correction Tape</t>
  </si>
  <si>
    <t>ORD-1044</t>
  </si>
  <si>
    <t>Highlighters</t>
  </si>
  <si>
    <t>ORD-1045</t>
  </si>
  <si>
    <t>ORD-1046</t>
  </si>
  <si>
    <t>ORD-1047</t>
  </si>
  <si>
    <t>ORD-1048</t>
  </si>
  <si>
    <t>ORD-1049</t>
  </si>
  <si>
    <t>Network Switch</t>
  </si>
  <si>
    <t>ORD-1050</t>
  </si>
  <si>
    <t>ORD-1051</t>
  </si>
  <si>
    <t>ORD-1052</t>
  </si>
  <si>
    <t>ORD-1053</t>
  </si>
  <si>
    <t>ORD-1054</t>
  </si>
  <si>
    <t>ORD-1055</t>
  </si>
  <si>
    <t>ORD-1056</t>
  </si>
  <si>
    <t>ORD-1057</t>
  </si>
  <si>
    <t>A4 Paper Ream</t>
  </si>
  <si>
    <t>ORD-1058</t>
  </si>
  <si>
    <t>ORD-1059</t>
  </si>
  <si>
    <t>ORD-1060</t>
  </si>
  <si>
    <t>Aug-23</t>
  </si>
  <si>
    <t>ORD-1061</t>
  </si>
  <si>
    <t>ORD-1062</t>
  </si>
  <si>
    <t>Bookshelf</t>
  </si>
  <si>
    <t>ORD-1063</t>
  </si>
  <si>
    <t>ORD-1064</t>
  </si>
  <si>
    <t>ORD-1065</t>
  </si>
  <si>
    <t>ORD-1066</t>
  </si>
  <si>
    <t>ORD-1067</t>
  </si>
  <si>
    <t>ORD-1068</t>
  </si>
  <si>
    <t>ORD-1069</t>
  </si>
  <si>
    <t>ORD-1070</t>
  </si>
  <si>
    <t>ORD-1071</t>
  </si>
  <si>
    <t>ORD-1072</t>
  </si>
  <si>
    <t>ORD-1073</t>
  </si>
  <si>
    <t>ORD-1074</t>
  </si>
  <si>
    <t>ORD-1075</t>
  </si>
  <si>
    <t>ORD-1076</t>
  </si>
  <si>
    <t>ORD-1077</t>
  </si>
  <si>
    <t>ORD-1078</t>
  </si>
  <si>
    <t>Sep-23</t>
  </si>
  <si>
    <t>ORD-1079</t>
  </si>
  <si>
    <t>ORD-1080</t>
  </si>
  <si>
    <t>ORD-1081</t>
  </si>
  <si>
    <t>ORD-1082</t>
  </si>
  <si>
    <t>ORD-1083</t>
  </si>
  <si>
    <t>ORD-1084</t>
  </si>
  <si>
    <t>ORD-1085</t>
  </si>
  <si>
    <t>ORD-1086</t>
  </si>
  <si>
    <t>ORD-1087</t>
  </si>
  <si>
    <t>ORD-1088</t>
  </si>
  <si>
    <t>ORD-1089</t>
  </si>
  <si>
    <t>ORD-1090</t>
  </si>
  <si>
    <t>Oct-23</t>
  </si>
  <si>
    <t>Q2</t>
  </si>
  <si>
    <t>ORD-1091</t>
  </si>
  <si>
    <t>ORD-1092</t>
  </si>
  <si>
    <t>ORD-1093</t>
  </si>
  <si>
    <t>ORD-1094</t>
  </si>
  <si>
    <t>ORD-1095</t>
  </si>
  <si>
    <t>ORD-1096</t>
  </si>
  <si>
    <t>ORD-1097</t>
  </si>
  <si>
    <t>ORD-1098</t>
  </si>
  <si>
    <t>ORD-1099</t>
  </si>
  <si>
    <t>ORD-1100</t>
  </si>
  <si>
    <t>ORD-1101</t>
  </si>
  <si>
    <t>ORD-1102</t>
  </si>
  <si>
    <t>ORD-1103</t>
  </si>
  <si>
    <t>ORD-1104</t>
  </si>
  <si>
    <t>ORD-1105</t>
  </si>
  <si>
    <t>Nov-23</t>
  </si>
  <si>
    <t>Printer</t>
  </si>
  <si>
    <t>ORD-1106</t>
  </si>
  <si>
    <t>ORD-1107</t>
  </si>
  <si>
    <t>ORD-1108</t>
  </si>
  <si>
    <t>ORD-1109</t>
  </si>
  <si>
    <t>ORD-1110</t>
  </si>
  <si>
    <t>ORD-1111</t>
  </si>
  <si>
    <t>Marker Set</t>
  </si>
  <si>
    <t>ORD-1112</t>
  </si>
  <si>
    <t>ORD-1113</t>
  </si>
  <si>
    <t>ORD-1114</t>
  </si>
  <si>
    <t>ORD-1115</t>
  </si>
  <si>
    <t>ORD-1116</t>
  </si>
  <si>
    <t>ORD-1117</t>
  </si>
  <si>
    <t>ORD-1118</t>
  </si>
  <si>
    <t>ORD-1119</t>
  </si>
  <si>
    <t>ORD-1120</t>
  </si>
  <si>
    <t>ORD-1121</t>
  </si>
  <si>
    <t>ORD-1122</t>
  </si>
  <si>
    <t>ORD-1123</t>
  </si>
  <si>
    <t>Dec-23</t>
  </si>
  <si>
    <t>ORD-1124</t>
  </si>
  <si>
    <t>ORD-1125</t>
  </si>
  <si>
    <t>ORD-1126</t>
  </si>
  <si>
    <t>ORD-1127</t>
  </si>
  <si>
    <t>ORD-1128</t>
  </si>
  <si>
    <t>ORD-1129</t>
  </si>
  <si>
    <t>ORD-1130</t>
  </si>
  <si>
    <t>ORD-1131</t>
  </si>
  <si>
    <t>ORD-1132</t>
  </si>
  <si>
    <t>ORD-1133</t>
  </si>
  <si>
    <t>ORD-1134</t>
  </si>
  <si>
    <t>ORD-1135</t>
  </si>
  <si>
    <t>ORD-1136</t>
  </si>
  <si>
    <t>ORD-1137</t>
  </si>
  <si>
    <t>ORD-1138</t>
  </si>
  <si>
    <t>ORD-1139</t>
  </si>
  <si>
    <t>Jan-24</t>
  </si>
  <si>
    <t>Q3</t>
  </si>
  <si>
    <t>ORD-1140</t>
  </si>
  <si>
    <t>ORD-1141</t>
  </si>
  <si>
    <t>ORD-1142</t>
  </si>
  <si>
    <t>ORD-1143</t>
  </si>
  <si>
    <t>ORD-1144</t>
  </si>
  <si>
    <t>ORD-1145</t>
  </si>
  <si>
    <t>ORD-1146</t>
  </si>
  <si>
    <t>ORD-1147</t>
  </si>
  <si>
    <t>ORD-1148</t>
  </si>
  <si>
    <t>ORD-1149</t>
  </si>
  <si>
    <t>ORD-1150</t>
  </si>
  <si>
    <t>Feb-24</t>
  </si>
  <si>
    <t>ORD-1151</t>
  </si>
  <si>
    <t>ORD-1152</t>
  </si>
  <si>
    <t>ORD-1153</t>
  </si>
  <si>
    <t>ORD-1154</t>
  </si>
  <si>
    <t>ORD-1155</t>
  </si>
  <si>
    <t>ORD-1156</t>
  </si>
  <si>
    <t>ORD-1157</t>
  </si>
  <si>
    <t>ORD-1158</t>
  </si>
  <si>
    <t>ORD-1159</t>
  </si>
  <si>
    <t>ORD-1160</t>
  </si>
  <si>
    <t>ORD-1161</t>
  </si>
  <si>
    <t>ORD-1162</t>
  </si>
  <si>
    <t>ORD-1163</t>
  </si>
  <si>
    <t>Mar-24</t>
  </si>
  <si>
    <t>ORD-1164</t>
  </si>
  <si>
    <t>ORD-1165</t>
  </si>
  <si>
    <t>ORD-1166</t>
  </si>
  <si>
    <t>ORD-1167</t>
  </si>
  <si>
    <t>ORD-1168</t>
  </si>
  <si>
    <t>ORD-1169</t>
  </si>
  <si>
    <t>ORD-1170</t>
  </si>
  <si>
    <t>ORD-1171</t>
  </si>
  <si>
    <t>ORD-1172</t>
  </si>
  <si>
    <t>AL-RIYAN TRADING CO. — Monthly Sales Targets vs Actual (FY 2023–24)</t>
  </si>
  <si>
    <t>Target_SAR</t>
  </si>
  <si>
    <t>Actual_SAR</t>
  </si>
  <si>
    <t>Variance_SAR</t>
  </si>
  <si>
    <t>TOTAL</t>
  </si>
  <si>
    <t>AL-RIYAN TRADING CO. — Monthly Operating Expenses (FY 2023–24)</t>
  </si>
  <si>
    <t>Salaries_SAR</t>
  </si>
  <si>
    <t>Rent_SAR</t>
  </si>
  <si>
    <t>Marketing_SAR</t>
  </si>
  <si>
    <t>Logistics_SAR</t>
  </si>
  <si>
    <t>Utilities_SAR</t>
  </si>
  <si>
    <t>Miscellaneous_SAR</t>
  </si>
  <si>
    <t>Total_Expenses_SAR</t>
  </si>
  <si>
    <t>Profit_SAR</t>
  </si>
  <si>
    <t>Total Cost</t>
  </si>
  <si>
    <t>Total Profit</t>
  </si>
  <si>
    <t>Revenue</t>
  </si>
  <si>
    <t>Total_Revenue</t>
  </si>
  <si>
    <t>Category</t>
  </si>
  <si>
    <t>order (Count)</t>
  </si>
  <si>
    <t>Sales Person</t>
  </si>
  <si>
    <t>Rank</t>
  </si>
  <si>
    <t>MoM Growth%</t>
  </si>
  <si>
    <t>Grand Total</t>
  </si>
  <si>
    <t>Sum of Total_Revenue_SAR</t>
  </si>
  <si>
    <t>Total</t>
  </si>
  <si>
    <t>Sum of Cost_SAR</t>
  </si>
  <si>
    <t>Over all  Margine%</t>
  </si>
  <si>
    <t>Revenue by Region</t>
  </si>
  <si>
    <t>Performance_Flag</t>
  </si>
  <si>
    <t>Profit_Margin%</t>
  </si>
  <si>
    <t>Average order value(SAR)</t>
  </si>
  <si>
    <t>Total Revenue (SAR)</t>
  </si>
  <si>
    <t>MOTH</t>
  </si>
  <si>
    <t>MoM_Growth%</t>
  </si>
  <si>
    <t>Revenue(SAR)</t>
  </si>
  <si>
    <t>Average of profit_Margine%</t>
  </si>
  <si>
    <t>Monthly Revenue Trend</t>
  </si>
  <si>
    <t>Profit by Region &amp; Quarter</t>
  </si>
  <si>
    <t>Top 5 Products by Units Sold</t>
  </si>
  <si>
    <t>Salesperson Performance Summary</t>
  </si>
  <si>
    <t>-</t>
  </si>
  <si>
    <t>Total Revenue</t>
  </si>
  <si>
    <t xml:space="preserve"> Actual_SAR</t>
  </si>
  <si>
    <t>Moth by Target and Actual SAR</t>
  </si>
  <si>
    <t>%revenue by category</t>
  </si>
  <si>
    <t>Profit_by_Quarter</t>
  </si>
  <si>
    <t>Top5 salesperson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</si>
</sst>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m\-yyyy"/>
    <numFmt numFmtId="165" formatCode="#,##0.00&quot; SAR&quot;"/>
    <numFmt numFmtId="166" formatCode="#,##0&quot; SAR&quot;"/>
    <numFmt numFmtId="167" formatCode="0.0%"/>
  </numFmts>
  <fonts count="17" x14ac:knownFonts="1">
    <font>
      <sz val="11"/>
      <color theme="1"/>
      <name val="Calibri"/>
      <family val="2"/>
      <scheme val="minor"/>
    </font>
    <font>
      <b/>
      <sz val="14"/>
      <color rgb="FFFFFFFF"/>
      <name val="Arial"/>
      <family val="2"/>
    </font>
    <font>
      <b/>
      <sz val="10"/>
      <color rgb="FFFFFFFF"/>
      <name val="Arial"/>
      <family val="2"/>
    </font>
    <font>
      <sz val="10"/>
      <name val="Arial"/>
      <family val="2"/>
    </font>
    <font>
      <b/>
      <sz val="13"/>
      <color rgb="FFFFFFFF"/>
      <name val="Arial"/>
      <family val="2"/>
    </font>
    <font>
      <b/>
      <sz val="11"/>
      <color rgb="FFFFFFFF"/>
      <name val="Arial"/>
      <family val="2"/>
    </font>
    <font>
      <b/>
      <sz val="9"/>
      <color rgb="FFFFFFFF"/>
      <name val="Arial"/>
      <family val="2"/>
    </font>
    <font>
      <b/>
      <sz val="10"/>
      <color rgb="FF1F3864"/>
      <name val="Arial"/>
      <family val="2"/>
    </font>
    <font>
      <b/>
      <sz val="11"/>
      <color rgb="FFFFFFFF"/>
      <name val="Arial"/>
      <family val="2"/>
    </font>
    <font>
      <sz val="11"/>
      <color theme="1"/>
      <name val="Calibri"/>
      <family val="2"/>
      <scheme val="minor"/>
    </font>
    <font>
      <b/>
      <sz val="11"/>
      <color theme="1"/>
      <name val="Calibri"/>
      <family val="2"/>
      <scheme val="minor"/>
    </font>
    <font>
      <sz val="8"/>
      <name val="Calibri"/>
      <family val="2"/>
      <scheme val="minor"/>
    </font>
    <font>
      <b/>
      <sz val="11"/>
      <color theme="0"/>
      <name val="Calibri"/>
      <family val="2"/>
      <scheme val="minor"/>
    </font>
    <font>
      <b/>
      <sz val="10"/>
      <color theme="0"/>
      <name val="Arial"/>
      <family val="2"/>
    </font>
    <font>
      <b/>
      <i/>
      <sz val="11"/>
      <color theme="0"/>
      <name val="Calibri"/>
      <family val="2"/>
      <scheme val="minor"/>
    </font>
    <font>
      <b/>
      <sz val="16"/>
      <color theme="1"/>
      <name val="Calibri"/>
      <family val="2"/>
      <scheme val="minor"/>
    </font>
    <font>
      <b/>
      <sz val="16"/>
      <color theme="0"/>
      <name val="Calibri"/>
      <family val="2"/>
      <scheme val="minor"/>
    </font>
  </fonts>
  <fills count="13">
    <fill>
      <patternFill patternType="none"/>
    </fill>
    <fill>
      <patternFill patternType="gray125"/>
    </fill>
    <fill>
      <patternFill patternType="solid">
        <fgColor rgb="FF1F3864"/>
      </patternFill>
    </fill>
    <fill>
      <patternFill patternType="solid">
        <fgColor rgb="FF2E5F9C"/>
      </patternFill>
    </fill>
    <fill>
      <patternFill patternType="solid">
        <fgColor rgb="FFF2F2F2"/>
      </patternFill>
    </fill>
    <fill>
      <patternFill patternType="solid">
        <fgColor rgb="FFFFFFFF"/>
      </patternFill>
    </fill>
    <fill>
      <patternFill patternType="solid">
        <fgColor rgb="FFD6E4F0"/>
      </patternFill>
    </fill>
    <fill>
      <patternFill patternType="solid">
        <fgColor rgb="FFC9A84C"/>
      </patternFill>
    </fill>
    <fill>
      <patternFill patternType="solid">
        <fgColor rgb="FF1E7145"/>
      </patternFill>
    </fill>
    <fill>
      <patternFill patternType="solid">
        <fgColor rgb="FF2E5F9C"/>
        <bgColor indexed="64"/>
      </patternFill>
    </fill>
    <fill>
      <patternFill patternType="solid">
        <fgColor theme="3"/>
        <bgColor indexed="64"/>
      </patternFill>
    </fill>
    <fill>
      <patternFill patternType="solid">
        <fgColor rgb="FF1F3864"/>
        <bgColor indexed="64"/>
      </patternFill>
    </fill>
    <fill>
      <patternFill patternType="solid">
        <fgColor rgb="FFC9A84C"/>
        <bgColor indexed="64"/>
      </patternFill>
    </fill>
  </fills>
  <borders count="12">
    <border>
      <left/>
      <right/>
      <top/>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
      <left/>
      <right style="thin">
        <color rgb="FFCCCCCC"/>
      </right>
      <top style="thin">
        <color rgb="FFCCCCCC"/>
      </top>
      <bottom/>
      <diagonal/>
    </border>
    <border>
      <left style="thin">
        <color rgb="FFCCCCCC"/>
      </left>
      <right style="thin">
        <color rgb="FFCCCCCC"/>
      </right>
      <top style="thin">
        <color rgb="FFCCCCCC"/>
      </top>
      <bottom/>
      <diagonal/>
    </border>
    <border>
      <left style="thin">
        <color rgb="FFCCCCCC"/>
      </left>
      <right/>
      <top style="thin">
        <color rgb="FFCCCCCC"/>
      </top>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bottom/>
      <diagonal/>
    </border>
  </borders>
  <cellStyleXfs count="2">
    <xf numFmtId="0" fontId="0" fillId="0" borderId="0"/>
    <xf numFmtId="9" fontId="9" fillId="0" borderId="0" applyFont="0" applyFill="0" applyBorder="0" applyAlignment="0" applyProtection="0"/>
  </cellStyleXfs>
  <cellXfs count="64">
    <xf numFmtId="0" fontId="0" fillId="0" borderId="0" xfId="0"/>
    <xf numFmtId="0" fontId="2" fillId="3" borderId="1" xfId="0" applyFont="1" applyFill="1" applyBorder="1" applyAlignment="1">
      <alignment horizontal="center" vertical="center"/>
    </xf>
    <xf numFmtId="0" fontId="3" fillId="4" borderId="1" xfId="0" applyFont="1" applyFill="1" applyBorder="1" applyAlignment="1">
      <alignment horizontal="center" vertical="center"/>
    </xf>
    <xf numFmtId="164" fontId="3" fillId="4" borderId="1" xfId="0" applyNumberFormat="1" applyFont="1" applyFill="1" applyBorder="1" applyAlignment="1">
      <alignment horizontal="center" vertical="center"/>
    </xf>
    <xf numFmtId="165" fontId="3" fillId="4" borderId="1" xfId="0" applyNumberFormat="1" applyFont="1" applyFill="1" applyBorder="1" applyAlignment="1">
      <alignment horizontal="center" vertical="center"/>
    </xf>
    <xf numFmtId="0" fontId="3" fillId="5" borderId="1" xfId="0" applyFont="1" applyFill="1" applyBorder="1" applyAlignment="1">
      <alignment horizontal="center" vertical="center"/>
    </xf>
    <xf numFmtId="164" fontId="3" fillId="5" borderId="1" xfId="0" applyNumberFormat="1" applyFont="1" applyFill="1" applyBorder="1" applyAlignment="1">
      <alignment horizontal="center" vertical="center"/>
    </xf>
    <xf numFmtId="165" fontId="3" fillId="5" borderId="1" xfId="0" applyNumberFormat="1" applyFont="1" applyFill="1" applyBorder="1" applyAlignment="1">
      <alignment horizontal="center" vertical="center"/>
    </xf>
    <xf numFmtId="166" fontId="3" fillId="4" borderId="1" xfId="0" applyNumberFormat="1" applyFont="1" applyFill="1" applyBorder="1" applyAlignment="1">
      <alignment horizontal="center" vertical="center"/>
    </xf>
    <xf numFmtId="166" fontId="3" fillId="5" borderId="1" xfId="0" applyNumberFormat="1" applyFont="1" applyFill="1" applyBorder="1" applyAlignment="1">
      <alignment horizontal="center" vertical="center"/>
    </xf>
    <xf numFmtId="0" fontId="5" fillId="2" borderId="0" xfId="0" applyFont="1" applyFill="1" applyAlignment="1">
      <alignment horizontal="center"/>
    </xf>
    <xf numFmtId="166" fontId="5" fillId="2" borderId="1" xfId="0" applyNumberFormat="1" applyFont="1" applyFill="1" applyBorder="1" applyAlignment="1">
      <alignment horizontal="center"/>
    </xf>
    <xf numFmtId="0" fontId="6" fillId="3" borderId="1" xfId="0" applyFont="1" applyFill="1" applyBorder="1" applyAlignment="1">
      <alignment horizontal="center" vertical="center"/>
    </xf>
    <xf numFmtId="166" fontId="7" fillId="6" borderId="1" xfId="0" applyNumberFormat="1" applyFont="1" applyFill="1" applyBorder="1" applyAlignment="1">
      <alignment horizontal="center"/>
    </xf>
    <xf numFmtId="0" fontId="3" fillId="4" borderId="2" xfId="0" applyFont="1" applyFill="1" applyBorder="1" applyAlignment="1">
      <alignment horizontal="center" vertical="center"/>
    </xf>
    <xf numFmtId="0" fontId="3" fillId="5" borderId="2" xfId="0" applyFont="1" applyFill="1" applyBorder="1" applyAlignment="1">
      <alignment horizontal="center" vertical="center"/>
    </xf>
    <xf numFmtId="165" fontId="3" fillId="4" borderId="3" xfId="0" applyNumberFormat="1" applyFont="1" applyFill="1" applyBorder="1" applyAlignment="1">
      <alignment horizontal="center" vertical="center"/>
    </xf>
    <xf numFmtId="165" fontId="3" fillId="5" borderId="3" xfId="0" applyNumberFormat="1" applyFont="1" applyFill="1" applyBorder="1" applyAlignment="1">
      <alignment horizontal="center" vertical="center"/>
    </xf>
    <xf numFmtId="0" fontId="2" fillId="3" borderId="4"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6" xfId="0" applyFont="1" applyFill="1" applyBorder="1" applyAlignment="1">
      <alignment horizontal="center" vertical="center"/>
    </xf>
    <xf numFmtId="0" fontId="3" fillId="5" borderId="7" xfId="0" applyFont="1" applyFill="1" applyBorder="1" applyAlignment="1">
      <alignment horizontal="center" vertical="center"/>
    </xf>
    <xf numFmtId="164" fontId="3" fillId="5" borderId="8" xfId="0" applyNumberFormat="1" applyFont="1" applyFill="1" applyBorder="1" applyAlignment="1">
      <alignment horizontal="center" vertical="center"/>
    </xf>
    <xf numFmtId="0" fontId="3" fillId="5" borderId="8" xfId="0" applyFont="1" applyFill="1" applyBorder="1" applyAlignment="1">
      <alignment horizontal="center" vertical="center"/>
    </xf>
    <xf numFmtId="165" fontId="3" fillId="5" borderId="8" xfId="0" applyNumberFormat="1" applyFont="1" applyFill="1" applyBorder="1" applyAlignment="1">
      <alignment horizontal="center" vertical="center"/>
    </xf>
    <xf numFmtId="165" fontId="3" fillId="5" borderId="9" xfId="0" applyNumberFormat="1" applyFont="1" applyFill="1" applyBorder="1" applyAlignment="1">
      <alignment horizontal="center" vertical="center"/>
    </xf>
    <xf numFmtId="0" fontId="2" fillId="9" borderId="5" xfId="0" applyFont="1" applyFill="1" applyBorder="1" applyAlignment="1">
      <alignment horizontal="center" vertical="center"/>
    </xf>
    <xf numFmtId="165" fontId="0" fillId="0" borderId="0" xfId="0" applyNumberFormat="1"/>
    <xf numFmtId="9" fontId="0" fillId="0" borderId="0" xfId="1" applyFont="1"/>
    <xf numFmtId="9" fontId="0" fillId="0" borderId="0" xfId="0" applyNumberFormat="1"/>
    <xf numFmtId="4" fontId="0" fillId="0" borderId="0" xfId="0" applyNumberFormat="1"/>
    <xf numFmtId="0" fontId="0" fillId="0" borderId="0" xfId="0" applyAlignment="1">
      <alignment horizontal="center"/>
    </xf>
    <xf numFmtId="0" fontId="2" fillId="3" borderId="11" xfId="0" applyFont="1" applyFill="1" applyBorder="1" applyAlignment="1">
      <alignment horizontal="center" vertical="center"/>
    </xf>
    <xf numFmtId="0" fontId="0" fillId="10" borderId="0" xfId="0" applyFill="1"/>
    <xf numFmtId="0" fontId="0" fillId="0" borderId="0" xfId="0" pivotButton="1"/>
    <xf numFmtId="167" fontId="0" fillId="0" borderId="0" xfId="0" applyNumberFormat="1"/>
    <xf numFmtId="2" fontId="0" fillId="0" borderId="0" xfId="1" applyNumberFormat="1" applyFont="1"/>
    <xf numFmtId="0" fontId="0" fillId="11" borderId="0" xfId="0" applyFill="1"/>
    <xf numFmtId="0" fontId="0" fillId="0" borderId="0" xfId="0"/>
    <xf numFmtId="0" fontId="3" fillId="5" borderId="0" xfId="0" applyFont="1" applyFill="1" applyAlignment="1">
      <alignment horizontal="left" vertical="center" wrapText="1"/>
    </xf>
    <xf numFmtId="0" fontId="3" fillId="4" borderId="0" xfId="0" applyFont="1" applyFill="1" applyAlignment="1">
      <alignment horizontal="left" vertical="center" wrapText="1"/>
    </xf>
    <xf numFmtId="0" fontId="8" fillId="3" borderId="0" xfId="0" applyFont="1" applyFill="1" applyAlignment="1">
      <alignment horizontal="left" vertical="center"/>
    </xf>
    <xf numFmtId="0" fontId="1" fillId="2" borderId="0" xfId="0" applyFont="1" applyFill="1" applyAlignment="1">
      <alignment horizontal="center" vertical="center"/>
    </xf>
    <xf numFmtId="0" fontId="8" fillId="8" borderId="0" xfId="0" applyFont="1" applyFill="1" applyAlignment="1">
      <alignment horizontal="left" vertical="center"/>
    </xf>
    <xf numFmtId="0" fontId="8" fillId="7" borderId="0" xfId="0" applyFont="1" applyFill="1" applyAlignment="1">
      <alignment horizontal="left" vertical="center"/>
    </xf>
    <xf numFmtId="0" fontId="8" fillId="2" borderId="0" xfId="0" applyFont="1" applyFill="1" applyAlignment="1">
      <alignment horizontal="left" vertical="center"/>
    </xf>
    <xf numFmtId="0" fontId="1" fillId="10" borderId="0" xfId="0" applyFont="1" applyFill="1" applyAlignment="1">
      <alignment horizontal="center" vertical="center"/>
    </xf>
    <xf numFmtId="0" fontId="0" fillId="10" borderId="0" xfId="0" applyFill="1"/>
    <xf numFmtId="0" fontId="4" fillId="2" borderId="0" xfId="0" applyFont="1" applyFill="1" applyAlignment="1">
      <alignment horizontal="center" vertical="center"/>
    </xf>
    <xf numFmtId="0" fontId="12" fillId="11" borderId="10" xfId="0" applyFont="1" applyFill="1" applyBorder="1"/>
    <xf numFmtId="0" fontId="12" fillId="11" borderId="10" xfId="0" applyFont="1" applyFill="1" applyBorder="1" applyAlignment="1">
      <alignment horizontal="center"/>
    </xf>
    <xf numFmtId="0" fontId="0" fillId="12" borderId="10" xfId="0" applyFill="1" applyBorder="1" applyAlignment="1">
      <alignment horizontal="center"/>
    </xf>
    <xf numFmtId="0" fontId="3" fillId="12" borderId="10" xfId="0" applyFont="1" applyFill="1" applyBorder="1" applyAlignment="1">
      <alignment horizontal="center" vertical="center"/>
    </xf>
    <xf numFmtId="0" fontId="10" fillId="12" borderId="10" xfId="0" applyFont="1" applyFill="1" applyBorder="1" applyAlignment="1">
      <alignment horizontal="center"/>
    </xf>
    <xf numFmtId="0" fontId="0" fillId="12" borderId="10" xfId="0" applyFill="1" applyBorder="1"/>
    <xf numFmtId="0" fontId="16" fillId="11" borderId="10" xfId="0" applyFont="1" applyFill="1" applyBorder="1"/>
    <xf numFmtId="0" fontId="0" fillId="0" borderId="10" xfId="0" applyBorder="1"/>
    <xf numFmtId="166" fontId="15" fillId="0" borderId="10" xfId="0" applyNumberFormat="1" applyFont="1" applyBorder="1"/>
    <xf numFmtId="167" fontId="15" fillId="0" borderId="10" xfId="1" applyNumberFormat="1" applyFont="1" applyBorder="1"/>
    <xf numFmtId="166" fontId="0" fillId="0" borderId="10" xfId="0" applyNumberFormat="1" applyBorder="1"/>
    <xf numFmtId="0" fontId="13" fillId="11" borderId="10" xfId="0" applyFont="1" applyFill="1" applyBorder="1" applyAlignment="1">
      <alignment horizontal="center" vertical="center"/>
    </xf>
    <xf numFmtId="0" fontId="14" fillId="11" borderId="10" xfId="0" applyFont="1" applyFill="1" applyBorder="1"/>
    <xf numFmtId="0" fontId="0" fillId="0" borderId="10" xfId="0" applyBorder="1" applyAlignment="1">
      <alignment horizontal="center"/>
    </xf>
    <xf numFmtId="167" fontId="0" fillId="0" borderId="10" xfId="1" applyNumberFormat="1" applyFont="1" applyBorder="1"/>
  </cellXfs>
  <cellStyles count="2">
    <cellStyle name="Normal" xfId="0" builtinId="0"/>
    <cellStyle name="Percent" xfId="1" builtinId="5"/>
  </cellStyles>
  <dxfs count="27">
    <dxf>
      <fill>
        <patternFill>
          <bgColor rgb="FFC00000"/>
        </patternFill>
      </fill>
    </dxf>
    <dxf>
      <fill>
        <patternFill>
          <bgColor rgb="FF00B050"/>
        </patternFill>
      </fill>
    </dxf>
    <dxf>
      <fill>
        <patternFill>
          <bgColor theme="2" tint="-0.24994659260841701"/>
        </patternFill>
      </fill>
    </dxf>
    <dxf>
      <fill>
        <patternFill>
          <bgColor rgb="FF1F3864"/>
        </patternFill>
      </fill>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0"/>
        <color rgb="FFFFFFFF"/>
        <name val="Arial"/>
        <family val="2"/>
        <scheme val="none"/>
      </font>
      <fill>
        <patternFill patternType="solid">
          <fgColor indexed="64"/>
          <bgColor rgb="FF2E5F9C"/>
        </patternFill>
      </fill>
      <alignment horizontal="center" vertical="center" textRotation="0" wrapText="0" indent="0" justifyLastLine="0" shrinkToFit="0" readingOrder="0"/>
      <border diagonalUp="0" diagonalDown="0" outline="0">
        <left style="thin">
          <color rgb="FFCCCCCC"/>
        </left>
        <right style="thin">
          <color rgb="FFCCCCCC"/>
        </right>
        <top/>
        <bottom/>
      </border>
    </dxf>
    <dxf>
      <numFmt numFmtId="0" formatCode="General"/>
    </dxf>
    <dxf>
      <numFmt numFmtId="2" formatCode="0.00"/>
    </dxf>
    <dxf>
      <numFmt numFmtId="165" formatCode="#,##0.00&quot; SAR&quot;"/>
    </dxf>
    <dxf>
      <font>
        <b val="0"/>
        <i val="0"/>
        <strike val="0"/>
        <condense val="0"/>
        <extend val="0"/>
        <outline val="0"/>
        <shadow val="0"/>
        <u val="none"/>
        <vertAlign val="baseline"/>
        <sz val="10"/>
        <color auto="1"/>
        <name val="Arial"/>
        <family val="2"/>
        <scheme val="none"/>
      </font>
      <numFmt numFmtId="165" formatCode="#,##0.00&quot; SAR&quot;"/>
      <fill>
        <patternFill patternType="solid">
          <fgColor indexed="64"/>
          <bgColor rgb="FFFFFFFF"/>
        </patternFill>
      </fill>
      <alignment horizontal="center" vertical="center" textRotation="0" wrapText="0" indent="0" justifyLastLine="0" shrinkToFit="0" readingOrder="0"/>
      <border diagonalUp="0" diagonalDown="0">
        <left style="thin">
          <color rgb="FFCCCCCC"/>
        </left>
        <right/>
        <top style="thin">
          <color rgb="FFCCCCCC"/>
        </top>
        <bottom style="thin">
          <color rgb="FFCCCCCC"/>
        </bottom>
        <vertical/>
        <horizontal/>
      </border>
    </dxf>
    <dxf>
      <font>
        <b val="0"/>
        <i val="0"/>
        <strike val="0"/>
        <condense val="0"/>
        <extend val="0"/>
        <outline val="0"/>
        <shadow val="0"/>
        <u val="none"/>
        <vertAlign val="baseline"/>
        <sz val="10"/>
        <color auto="1"/>
        <name val="Arial"/>
        <family val="2"/>
        <scheme val="none"/>
      </font>
      <numFmt numFmtId="165" formatCode="#,##0.00&quot; SAR&quot;"/>
      <fill>
        <patternFill patternType="solid">
          <fgColor indexed="64"/>
          <bgColor rgb="FFFFFFFF"/>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family val="2"/>
        <scheme val="none"/>
      </font>
      <numFmt numFmtId="165" formatCode="#,##0.00&quot; SAR&quot;"/>
      <fill>
        <patternFill patternType="solid">
          <fgColor indexed="64"/>
          <bgColor rgb="FFFFFFFF"/>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family val="2"/>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family val="2"/>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family val="2"/>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family val="2"/>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family val="2"/>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family val="2"/>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family val="2"/>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family val="2"/>
        <scheme val="none"/>
      </font>
      <numFmt numFmtId="164" formatCode="dd\-mmm\-yyyy"/>
      <fill>
        <patternFill patternType="solid">
          <fgColor indexed="64"/>
          <bgColor rgb="FFFFFFFF"/>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family val="2"/>
        <scheme val="none"/>
      </font>
      <fill>
        <patternFill patternType="solid">
          <fgColor indexed="64"/>
          <bgColor rgb="FFFFFFFF"/>
        </patternFill>
      </fill>
      <alignment horizontal="center" vertical="center" textRotation="0" wrapText="0" indent="0" justifyLastLine="0" shrinkToFit="0" readingOrder="0"/>
      <border diagonalUp="0" diagonalDown="0">
        <left/>
        <right style="thin">
          <color rgb="FFCCCCCC"/>
        </right>
        <top style="thin">
          <color rgb="FFCCCCCC"/>
        </top>
        <bottom style="thin">
          <color rgb="FFCCCCCC"/>
        </bottom>
        <vertical/>
        <horizontal/>
      </border>
    </dxf>
    <dxf>
      <border outline="0">
        <top style="thin">
          <color rgb="FFCCCCCC"/>
        </top>
      </border>
    </dxf>
    <dxf>
      <border outline="0">
        <left style="thin">
          <color rgb="FFCCCCCC"/>
        </left>
        <right style="thin">
          <color rgb="FFCCCCCC"/>
        </right>
        <top style="thin">
          <color rgb="FFCCCCCC"/>
        </top>
        <bottom style="thin">
          <color rgb="FFCCCCCC"/>
        </bottom>
      </border>
    </dxf>
    <dxf>
      <border outline="0">
        <bottom style="thin">
          <color rgb="FFCCCCCC"/>
        </bottom>
      </border>
    </dxf>
    <dxf>
      <font>
        <b/>
        <i val="0"/>
        <strike val="0"/>
        <condense val="0"/>
        <extend val="0"/>
        <outline val="0"/>
        <shadow val="0"/>
        <u val="none"/>
        <vertAlign val="baseline"/>
        <sz val="10"/>
        <color rgb="FFFFFFFF"/>
        <name val="Arial"/>
        <family val="2"/>
        <scheme val="none"/>
      </font>
      <fill>
        <patternFill patternType="solid">
          <fgColor indexed="64"/>
          <bgColor rgb="FF2E5F9C"/>
        </patternFill>
      </fill>
      <alignment horizontal="center" vertical="center" textRotation="0" wrapText="0" indent="0" justifyLastLine="0" shrinkToFit="0" readingOrder="0"/>
      <border diagonalUp="0" diagonalDown="0" outline="0">
        <left style="thin">
          <color rgb="FFCCCCCC"/>
        </left>
        <right style="thin">
          <color rgb="FFCCCCCC"/>
        </right>
        <top/>
        <bottom/>
      </border>
    </dxf>
    <dxf>
      <fill>
        <patternFill>
          <bgColor rgb="FF1F3864"/>
        </patternFill>
      </fill>
    </dxf>
    <dxf>
      <fill>
        <patternFill>
          <bgColor rgb="FFC9A84C"/>
        </patternFill>
      </fill>
    </dxf>
  </dxfs>
  <tableStyles count="3" defaultTableStyle="TableStyleMedium9" defaultPivotStyle="PivotStyleLight16">
    <tableStyle name="PivotTable Style 1" table="0" count="2" xr9:uid="{12039EC5-4E9E-4DDF-8DE7-7B91AB072E18}">
      <tableStyleElement type="firstSubtotalColumn" dxfId="2"/>
      <tableStyleElement type="pageFieldLabels" dxfId="3"/>
    </tableStyle>
    <tableStyle name="Slicer Style 1" pivot="0" table="0" count="1" xr9:uid="{BD64C6ED-E2A1-497A-9A79-870146FB3221}">
      <tableStyleElement type="wholeTable" dxfId="26"/>
    </tableStyle>
    <tableStyle name="Slicer Style 2" pivot="0" table="0" count="4" xr9:uid="{FEE9288E-20B7-4C42-8B9F-069A31592101}">
      <tableStyleElement type="headerRow" dxfId="25"/>
    </tableStyle>
  </tableStyles>
  <colors>
    <mruColors>
      <color rgb="FF1F3864"/>
      <color rgb="FFC9A84C"/>
      <color rgb="FF218F46"/>
    </mruColors>
  </colors>
  <extLst>
    <ext xmlns:x14="http://schemas.microsoft.com/office/spreadsheetml/2009/9/main" uri="{46F421CA-312F-682f-3DD2-61675219B42D}">
      <x14:dxfs count="3">
        <dxf>
          <fill>
            <patternFill>
              <bgColor rgb="FF002060"/>
            </patternFill>
          </fill>
        </dxf>
        <dxf>
          <fill>
            <patternFill>
              <bgColor theme="2" tint="-0.24994659260841701"/>
            </patternFill>
          </fill>
        </dxf>
        <dxf>
          <fill>
            <patternFill>
              <bgColor theme="2" tint="0.3999450666829432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2"/>
            <x14:slicerStyleElement type="selectedItemWithData" dxfId="1"/>
            <x14:slicerStyleElement type="hovered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theme" Target="theme/them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haredStrings" Target="sharedStrings.xml"/><Relationship Id="rId34" Type="http://schemas.openxmlformats.org/officeDocument/2006/relationships/customXml" Target="../customXml/item10.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2.xml"/><Relationship Id="rId19" Type="http://schemas.openxmlformats.org/officeDocument/2006/relationships/connections" Target="connections.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heetMetadata" Target="metadata.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microsoft.com/office/2007/relationships/slicerCache" Target="slicerCaches/slicerCache2.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[AlRiyan_Trading_Portfolio_RawData.xlsx]Sheet5!PivotTable8</c:name>
    <c:fmtId val="3"/>
  </c:pivotSource>
  <c:chart>
    <c:title>
      <c:tx>
        <c:rich>
          <a:bodyPr rot="0" spcFirstLastPara="1" vertOverflow="ellipsis" vert="horz" wrap="square" anchor="ctr" anchorCtr="1"/>
          <a:lstStyle/>
          <a:p>
            <a:pPr>
              <a:defRPr sz="1400" b="1" i="0" u="none" strike="noStrike" kern="1200" spc="0" baseline="0">
                <a:ln>
                  <a:noFill/>
                </a:ln>
                <a:solidFill>
                  <a:srgbClr val="C9A84C"/>
                </a:solidFill>
                <a:latin typeface="+mn-lt"/>
                <a:ea typeface="+mn-ea"/>
                <a:cs typeface="+mn-cs"/>
              </a:defRPr>
            </a:pPr>
            <a:r>
              <a:rPr lang="en-IN" sz="1400" b="1" i="0" u="none" strike="noStrike" baseline="0">
                <a:ln>
                  <a:noFill/>
                </a:ln>
                <a:solidFill>
                  <a:srgbClr val="C9A84C"/>
                </a:solidFill>
              </a:rPr>
              <a:t>Monthly Revenue vs Target</a:t>
            </a:r>
            <a:endParaRPr lang="en-IN" b="1">
              <a:ln>
                <a:noFill/>
              </a:ln>
              <a:solidFill>
                <a:srgbClr val="C9A84C"/>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ln>
                <a:noFill/>
              </a:ln>
              <a:solidFill>
                <a:srgbClr val="C9A84C"/>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prstDash val="dash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Sheet5!$B$3:$B$4</c:f>
              <c:strCache>
                <c:ptCount val="1"/>
                <c:pt idx="0">
                  <c:v>Target_SAR</c:v>
                </c:pt>
              </c:strCache>
            </c:strRef>
          </c:tx>
          <c:spPr>
            <a:ln w="28575" cap="rnd">
              <a:solidFill>
                <a:schemeClr val="accent1"/>
              </a:solidFill>
              <a:prstDash val="dashDot"/>
              <a:round/>
            </a:ln>
            <a:effectLst/>
          </c:spPr>
          <c:marker>
            <c:symbol val="none"/>
          </c:marker>
          <c:cat>
            <c:strRef>
              <c:f>Sheet5!$A$5:$A$17</c:f>
              <c:strCache>
                <c:ptCount val="12"/>
                <c:pt idx="0">
                  <c:v>Apr-23</c:v>
                </c:pt>
                <c:pt idx="1">
                  <c:v>May-23</c:v>
                </c:pt>
                <c:pt idx="2">
                  <c:v>Jun-23</c:v>
                </c:pt>
                <c:pt idx="3">
                  <c:v>Jul-23</c:v>
                </c:pt>
                <c:pt idx="4">
                  <c:v>Sep-23</c:v>
                </c:pt>
                <c:pt idx="5">
                  <c:v>Aug-23</c:v>
                </c:pt>
                <c:pt idx="6">
                  <c:v>Oct-23</c:v>
                </c:pt>
                <c:pt idx="7">
                  <c:v>Nov-23</c:v>
                </c:pt>
                <c:pt idx="8">
                  <c:v>Dec-23</c:v>
                </c:pt>
                <c:pt idx="9">
                  <c:v>Jan-24</c:v>
                </c:pt>
                <c:pt idx="10">
                  <c:v>Feb-24</c:v>
                </c:pt>
                <c:pt idx="11">
                  <c:v>Mar-24</c:v>
                </c:pt>
              </c:strCache>
            </c:strRef>
          </c:cat>
          <c:val>
            <c:numRef>
              <c:f>Sheet5!$B$5:$B$17</c:f>
              <c:numCache>
                <c:formatCode>General</c:formatCode>
                <c:ptCount val="12"/>
                <c:pt idx="0">
                  <c:v>42000</c:v>
                </c:pt>
                <c:pt idx="1">
                  <c:v>45000</c:v>
                </c:pt>
                <c:pt idx="2">
                  <c:v>48000</c:v>
                </c:pt>
                <c:pt idx="3">
                  <c:v>50000</c:v>
                </c:pt>
                <c:pt idx="4">
                  <c:v>55000</c:v>
                </c:pt>
                <c:pt idx="5">
                  <c:v>52000</c:v>
                </c:pt>
                <c:pt idx="6">
                  <c:v>57000</c:v>
                </c:pt>
                <c:pt idx="7">
                  <c:v>60000</c:v>
                </c:pt>
                <c:pt idx="8">
                  <c:v>65000</c:v>
                </c:pt>
                <c:pt idx="9">
                  <c:v>58000</c:v>
                </c:pt>
                <c:pt idx="10">
                  <c:v>56000</c:v>
                </c:pt>
                <c:pt idx="11">
                  <c:v>54000</c:v>
                </c:pt>
              </c:numCache>
            </c:numRef>
          </c:val>
          <c:smooth val="0"/>
          <c:extLst>
            <c:ext xmlns:c16="http://schemas.microsoft.com/office/drawing/2014/chart" uri="{C3380CC4-5D6E-409C-BE32-E72D297353CC}">
              <c16:uniqueId val="{00000000-2A5D-494C-9888-C22DF7E7AACC}"/>
            </c:ext>
          </c:extLst>
        </c:ser>
        <c:ser>
          <c:idx val="1"/>
          <c:order val="1"/>
          <c:tx>
            <c:strRef>
              <c:f>Sheet5!$C$3:$C$4</c:f>
              <c:strCache>
                <c:ptCount val="1"/>
                <c:pt idx="0">
                  <c:v> Actual_SAR</c:v>
                </c:pt>
              </c:strCache>
            </c:strRef>
          </c:tx>
          <c:spPr>
            <a:ln w="28575" cap="rnd">
              <a:solidFill>
                <a:schemeClr val="accent2"/>
              </a:solidFill>
              <a:round/>
            </a:ln>
            <a:effectLst/>
          </c:spPr>
          <c:marker>
            <c:symbol val="none"/>
          </c:marker>
          <c:cat>
            <c:strRef>
              <c:f>Sheet5!$A$5:$A$17</c:f>
              <c:strCache>
                <c:ptCount val="12"/>
                <c:pt idx="0">
                  <c:v>Apr-23</c:v>
                </c:pt>
                <c:pt idx="1">
                  <c:v>May-23</c:v>
                </c:pt>
                <c:pt idx="2">
                  <c:v>Jun-23</c:v>
                </c:pt>
                <c:pt idx="3">
                  <c:v>Jul-23</c:v>
                </c:pt>
                <c:pt idx="4">
                  <c:v>Sep-23</c:v>
                </c:pt>
                <c:pt idx="5">
                  <c:v>Aug-23</c:v>
                </c:pt>
                <c:pt idx="6">
                  <c:v>Oct-23</c:v>
                </c:pt>
                <c:pt idx="7">
                  <c:v>Nov-23</c:v>
                </c:pt>
                <c:pt idx="8">
                  <c:v>Dec-23</c:v>
                </c:pt>
                <c:pt idx="9">
                  <c:v>Jan-24</c:v>
                </c:pt>
                <c:pt idx="10">
                  <c:v>Feb-24</c:v>
                </c:pt>
                <c:pt idx="11">
                  <c:v>Mar-24</c:v>
                </c:pt>
              </c:strCache>
            </c:strRef>
          </c:cat>
          <c:val>
            <c:numRef>
              <c:f>Sheet5!$C$5:$C$17</c:f>
              <c:numCache>
                <c:formatCode>General</c:formatCode>
                <c:ptCount val="12"/>
                <c:pt idx="0">
                  <c:v>38500</c:v>
                </c:pt>
                <c:pt idx="1">
                  <c:v>46200</c:v>
                </c:pt>
                <c:pt idx="2">
                  <c:v>51000</c:v>
                </c:pt>
                <c:pt idx="3">
                  <c:v>48800</c:v>
                </c:pt>
                <c:pt idx="4">
                  <c:v>58900</c:v>
                </c:pt>
                <c:pt idx="5">
                  <c:v>53400</c:v>
                </c:pt>
                <c:pt idx="6">
                  <c:v>55000</c:v>
                </c:pt>
                <c:pt idx="7">
                  <c:v>63200</c:v>
                </c:pt>
                <c:pt idx="8">
                  <c:v>70100</c:v>
                </c:pt>
                <c:pt idx="9">
                  <c:v>54300</c:v>
                </c:pt>
                <c:pt idx="10">
                  <c:v>57800</c:v>
                </c:pt>
                <c:pt idx="11">
                  <c:v>52600</c:v>
                </c:pt>
              </c:numCache>
            </c:numRef>
          </c:val>
          <c:smooth val="0"/>
          <c:extLst>
            <c:ext xmlns:c16="http://schemas.microsoft.com/office/drawing/2014/chart" uri="{C3380CC4-5D6E-409C-BE32-E72D297353CC}">
              <c16:uniqueId val="{00000001-2A5D-494C-9888-C22DF7E7AACC}"/>
            </c:ext>
          </c:extLst>
        </c:ser>
        <c:dLbls>
          <c:showLegendKey val="0"/>
          <c:showVal val="0"/>
          <c:showCatName val="0"/>
          <c:showSerName val="0"/>
          <c:showPercent val="0"/>
          <c:showBubbleSize val="0"/>
        </c:dLbls>
        <c:smooth val="0"/>
        <c:axId val="1480281360"/>
        <c:axId val="1480265040"/>
      </c:lineChart>
      <c:catAx>
        <c:axId val="148028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80265040"/>
        <c:crosses val="autoZero"/>
        <c:auto val="1"/>
        <c:lblAlgn val="ctr"/>
        <c:lblOffset val="100"/>
        <c:noMultiLvlLbl val="0"/>
      </c:catAx>
      <c:valAx>
        <c:axId val="1480265040"/>
        <c:scaling>
          <c:orientation val="minMax"/>
          <c:min val="15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80281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F3864"/>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[AlRiyan_Trading_Portfolio_RawData.xlsx]Sheet5!PivotTable10</c:name>
    <c:fmtId val="3"/>
  </c:pivotSource>
  <c:chart>
    <c:title>
      <c:tx>
        <c:rich>
          <a:bodyPr rot="0" spcFirstLastPara="1" vertOverflow="ellipsis" vert="horz" wrap="square" anchor="ctr" anchorCtr="1"/>
          <a:lstStyle/>
          <a:p>
            <a:pPr algn="ctr">
              <a:defRPr sz="1400" b="0" i="0" u="none" strike="noStrike" kern="1200" spc="0" baseline="0">
                <a:solidFill>
                  <a:srgbClr val="C9A84C"/>
                </a:solidFill>
                <a:latin typeface="+mn-lt"/>
                <a:ea typeface="+mn-ea"/>
                <a:cs typeface="+mn-cs"/>
              </a:defRPr>
            </a:pPr>
            <a:r>
              <a:rPr lang="en-IN" sz="1400" b="1" i="0" u="none" strike="noStrike" baseline="0">
                <a:solidFill>
                  <a:srgbClr val="C9A84C"/>
                </a:solidFill>
              </a:rPr>
              <a:t>Revenue by Region</a:t>
            </a:r>
            <a:endParaRPr lang="en-US" b="1">
              <a:solidFill>
                <a:srgbClr val="C9A84C"/>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rgbClr val="C9A84C"/>
              </a:solidFill>
              <a:latin typeface="+mn-lt"/>
              <a:ea typeface="+mn-ea"/>
              <a:cs typeface="+mn-cs"/>
            </a:defRPr>
          </a:pPr>
          <a:endParaRPr lang="en-US"/>
        </a:p>
      </c:txPr>
    </c:title>
    <c:autoTitleDeleted val="0"/>
    <c:pivotFmts>
      <c:pivotFmt>
        <c:idx val="0"/>
        <c:spPr>
          <a:solidFill>
            <a:srgbClr val="C9A84C"/>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9A84C"/>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9A84C"/>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Sheet5!$F$3:$F$4</c:f>
              <c:strCache>
                <c:ptCount val="1"/>
                <c:pt idx="0">
                  <c:v>Total</c:v>
                </c:pt>
              </c:strCache>
            </c:strRef>
          </c:tx>
          <c:spPr>
            <a:solidFill>
              <a:srgbClr val="C9A84C"/>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Sheet5!$E$5:$E$10</c:f>
              <c:strCache>
                <c:ptCount val="5"/>
                <c:pt idx="0">
                  <c:v>Mecca</c:v>
                </c:pt>
                <c:pt idx="1">
                  <c:v>Medina</c:v>
                </c:pt>
                <c:pt idx="2">
                  <c:v>Jeddah</c:v>
                </c:pt>
                <c:pt idx="3">
                  <c:v>Dammam</c:v>
                </c:pt>
                <c:pt idx="4">
                  <c:v>Riyadh</c:v>
                </c:pt>
              </c:strCache>
            </c:strRef>
          </c:cat>
          <c:val>
            <c:numRef>
              <c:f>Sheet5!$F$5:$F$10</c:f>
              <c:numCache>
                <c:formatCode>General</c:formatCode>
                <c:ptCount val="5"/>
                <c:pt idx="0">
                  <c:v>92377</c:v>
                </c:pt>
                <c:pt idx="1">
                  <c:v>85601</c:v>
                </c:pt>
                <c:pt idx="2">
                  <c:v>82724</c:v>
                </c:pt>
                <c:pt idx="3">
                  <c:v>66021</c:v>
                </c:pt>
                <c:pt idx="4">
                  <c:v>65331</c:v>
                </c:pt>
              </c:numCache>
            </c:numRef>
          </c:val>
          <c:extLst>
            <c:ext xmlns:c16="http://schemas.microsoft.com/office/drawing/2014/chart" uri="{C3380CC4-5D6E-409C-BE32-E72D297353CC}">
              <c16:uniqueId val="{00000000-B073-4323-8921-013F51E73A3F}"/>
            </c:ext>
          </c:extLst>
        </c:ser>
        <c:dLbls>
          <c:dLblPos val="outEnd"/>
          <c:showLegendKey val="0"/>
          <c:showVal val="1"/>
          <c:showCatName val="0"/>
          <c:showSerName val="0"/>
          <c:showPercent val="0"/>
          <c:showBubbleSize val="0"/>
        </c:dLbls>
        <c:gapWidth val="182"/>
        <c:axId val="1480278000"/>
        <c:axId val="1480261680"/>
      </c:barChart>
      <c:catAx>
        <c:axId val="1480278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80261680"/>
        <c:crosses val="autoZero"/>
        <c:auto val="1"/>
        <c:lblAlgn val="ctr"/>
        <c:lblOffset val="100"/>
        <c:noMultiLvlLbl val="0"/>
      </c:catAx>
      <c:valAx>
        <c:axId val="1480261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80278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F3864"/>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[AlRiyan_Trading_Portfolio_RawData.xlsx]Sheet5!PivotTable12</c:name>
    <c:fmtId val="3"/>
  </c:pivotSource>
  <c:chart>
    <c:title>
      <c:tx>
        <c:rich>
          <a:bodyPr rot="0" spcFirstLastPara="1" vertOverflow="ellipsis" vert="horz" wrap="square" anchor="ctr" anchorCtr="1"/>
          <a:lstStyle/>
          <a:p>
            <a:pPr>
              <a:defRPr sz="1400" b="1" i="0" u="none" strike="noStrike" kern="1200" spc="0" baseline="0">
                <a:solidFill>
                  <a:srgbClr val="C9A84C"/>
                </a:solidFill>
                <a:latin typeface="+mn-lt"/>
                <a:ea typeface="+mn-ea"/>
                <a:cs typeface="+mn-cs"/>
              </a:defRPr>
            </a:pPr>
            <a:r>
              <a:rPr lang="en-IN" b="1">
                <a:solidFill>
                  <a:srgbClr val="C9A84C"/>
                </a:solidFill>
              </a:rPr>
              <a:t>Revenue Split by Category</a:t>
            </a:r>
            <a:endParaRPr lang="en-US" b="1">
              <a:solidFill>
                <a:srgbClr val="C9A84C"/>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C9A84C"/>
              </a:solidFill>
              <a:latin typeface="+mn-lt"/>
              <a:ea typeface="+mn-ea"/>
              <a:cs typeface="+mn-cs"/>
            </a:defRPr>
          </a:pPr>
          <a:endParaRPr lang="en-US"/>
        </a:p>
      </c:txPr>
    </c:title>
    <c:autoTitleDeleted val="0"/>
    <c:pivotFmts>
      <c:pivotFmt>
        <c:idx val="0"/>
        <c:spPr>
          <a:solidFill>
            <a:schemeClr val="accent1"/>
          </a:solidFill>
          <a:ln w="19050" cmpd="sng">
            <a:solidFill>
              <a:srgbClr val="1F3864"/>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3"/>
          </a:solidFill>
          <a:ln w="19050" cmpd="sng">
            <a:solidFill>
              <a:srgbClr val="1F3864"/>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5"/>
          </a:solidFill>
          <a:ln w="19050" cmpd="sng">
            <a:solidFill>
              <a:srgbClr val="1F3864"/>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4"/>
          </a:solidFill>
          <a:ln w="19050" cmpd="sng">
            <a:solidFill>
              <a:srgbClr val="1F3864"/>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solidFill>
          <a:ln w="19050" cmpd="sng">
            <a:solidFill>
              <a:srgbClr val="1F3864"/>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cmpd="sng">
            <a:solidFill>
              <a:srgbClr val="1F3864"/>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19050" cmpd="sng">
            <a:solidFill>
              <a:srgbClr val="1F3864"/>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19050" cmpd="sng">
            <a:solidFill>
              <a:srgbClr val="1F3864"/>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19050" cmpd="sng">
            <a:solidFill>
              <a:srgbClr val="1F3864"/>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19050" cmpd="sng">
            <a:solidFill>
              <a:srgbClr val="1F3864"/>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19050" cmpd="sng">
            <a:solidFill>
              <a:srgbClr val="1F3864"/>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w="19050" cmpd="sng">
            <a:solidFill>
              <a:srgbClr val="1F3864"/>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w="19050" cmpd="sng">
            <a:solidFill>
              <a:srgbClr val="1F3864"/>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cmpd="sng">
            <a:solidFill>
              <a:srgbClr val="1F3864"/>
            </a:solidFill>
          </a:ln>
          <a:effectLst/>
        </c:spPr>
        <c:dLbl>
          <c:idx val="0"/>
          <c:layout>
            <c:manualLayout>
              <c:x val="8.8888888888888892E-2"/>
              <c:y val="-2.7777777777777776E-2"/>
            </c:manualLayout>
          </c:layout>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cmpd="sng">
            <a:solidFill>
              <a:srgbClr val="1F3864"/>
            </a:solidFill>
          </a:ln>
          <a:effectLst/>
        </c:spPr>
        <c:dLbl>
          <c:idx val="0"/>
          <c:layout>
            <c:manualLayout>
              <c:x val="0.12222222222222222"/>
              <c:y val="4.6296296296296294E-2"/>
            </c:manualLayout>
          </c:layout>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cmpd="sng">
            <a:solidFill>
              <a:srgbClr val="1F3864"/>
            </a:solidFill>
          </a:ln>
          <a:effectLst/>
        </c:spPr>
        <c:dLbl>
          <c:idx val="0"/>
          <c:layout>
            <c:manualLayout>
              <c:x val="-7.5000000000000025E-2"/>
              <c:y val="-6.018518518518523E-2"/>
            </c:manualLayout>
          </c:layout>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cmpd="sng">
            <a:solidFill>
              <a:srgbClr val="1F3864"/>
            </a:solidFill>
          </a:ln>
          <a:effectLst/>
        </c:spPr>
        <c:dLbl>
          <c:idx val="0"/>
          <c:layout>
            <c:manualLayout>
              <c:x val="-7.4999999999999997E-2"/>
              <c:y val="-8.7962962962962979E-2"/>
            </c:manualLayout>
          </c:layout>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cmpd="sng">
            <a:solidFill>
              <a:srgbClr val="1F3864"/>
            </a:solidFill>
          </a:ln>
          <a:effectLst/>
        </c:spPr>
        <c:dLbl>
          <c:idx val="0"/>
          <c:layout>
            <c:manualLayout>
              <c:x val="0.11666666666666667"/>
              <c:y val="-8.3333333333333356E-2"/>
            </c:manualLayout>
          </c:layout>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Sheet5!$I$3:$I$4</c:f>
              <c:strCache>
                <c:ptCount val="1"/>
                <c:pt idx="0">
                  <c:v>Total</c:v>
                </c:pt>
              </c:strCache>
            </c:strRef>
          </c:tx>
          <c:spPr>
            <a:ln cmpd="sng">
              <a:solidFill>
                <a:srgbClr val="1F3864"/>
              </a:solidFill>
            </a:ln>
          </c:spPr>
          <c:dPt>
            <c:idx val="0"/>
            <c:bubble3D val="0"/>
            <c:spPr>
              <a:solidFill>
                <a:schemeClr val="accent1"/>
              </a:solidFill>
              <a:ln w="19050" cmpd="sng">
                <a:solidFill>
                  <a:srgbClr val="1F3864"/>
                </a:solidFill>
              </a:ln>
              <a:effectLst/>
            </c:spPr>
            <c:extLst>
              <c:ext xmlns:c16="http://schemas.microsoft.com/office/drawing/2014/chart" uri="{C3380CC4-5D6E-409C-BE32-E72D297353CC}">
                <c16:uniqueId val="{00000001-118C-463A-A53A-7AF2A3664AB1}"/>
              </c:ext>
            </c:extLst>
          </c:dPt>
          <c:dPt>
            <c:idx val="1"/>
            <c:bubble3D val="0"/>
            <c:spPr>
              <a:solidFill>
                <a:schemeClr val="accent2"/>
              </a:solidFill>
              <a:ln w="19050" cmpd="sng">
                <a:solidFill>
                  <a:srgbClr val="1F3864"/>
                </a:solidFill>
              </a:ln>
              <a:effectLst/>
            </c:spPr>
            <c:extLst>
              <c:ext xmlns:c16="http://schemas.microsoft.com/office/drawing/2014/chart" uri="{C3380CC4-5D6E-409C-BE32-E72D297353CC}">
                <c16:uniqueId val="{00000003-118C-463A-A53A-7AF2A3664AB1}"/>
              </c:ext>
            </c:extLst>
          </c:dPt>
          <c:dPt>
            <c:idx val="2"/>
            <c:bubble3D val="0"/>
            <c:spPr>
              <a:solidFill>
                <a:schemeClr val="accent3"/>
              </a:solidFill>
              <a:ln w="19050" cmpd="sng">
                <a:solidFill>
                  <a:srgbClr val="1F3864"/>
                </a:solidFill>
              </a:ln>
              <a:effectLst/>
            </c:spPr>
            <c:extLst>
              <c:ext xmlns:c16="http://schemas.microsoft.com/office/drawing/2014/chart" uri="{C3380CC4-5D6E-409C-BE32-E72D297353CC}">
                <c16:uniqueId val="{00000005-118C-463A-A53A-7AF2A3664AB1}"/>
              </c:ext>
            </c:extLst>
          </c:dPt>
          <c:dPt>
            <c:idx val="3"/>
            <c:bubble3D val="0"/>
            <c:spPr>
              <a:solidFill>
                <a:schemeClr val="accent4"/>
              </a:solidFill>
              <a:ln w="19050" cmpd="sng">
                <a:solidFill>
                  <a:srgbClr val="1F3864"/>
                </a:solidFill>
              </a:ln>
              <a:effectLst/>
            </c:spPr>
            <c:extLst>
              <c:ext xmlns:c16="http://schemas.microsoft.com/office/drawing/2014/chart" uri="{C3380CC4-5D6E-409C-BE32-E72D297353CC}">
                <c16:uniqueId val="{00000007-118C-463A-A53A-7AF2A3664AB1}"/>
              </c:ext>
            </c:extLst>
          </c:dPt>
          <c:dPt>
            <c:idx val="4"/>
            <c:bubble3D val="0"/>
            <c:spPr>
              <a:solidFill>
                <a:schemeClr val="accent5"/>
              </a:solidFill>
              <a:ln w="19050" cmpd="sng">
                <a:solidFill>
                  <a:srgbClr val="1F3864"/>
                </a:solidFill>
              </a:ln>
              <a:effectLst/>
            </c:spPr>
            <c:extLst>
              <c:ext xmlns:c16="http://schemas.microsoft.com/office/drawing/2014/chart" uri="{C3380CC4-5D6E-409C-BE32-E72D297353CC}">
                <c16:uniqueId val="{00000009-118C-463A-A53A-7AF2A3664AB1}"/>
              </c:ext>
            </c:extLst>
          </c:dPt>
          <c:dLbls>
            <c:dLbl>
              <c:idx val="0"/>
              <c:layout>
                <c:manualLayout>
                  <c:x val="8.8888888888888892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18C-463A-A53A-7AF2A3664AB1}"/>
                </c:ext>
              </c:extLst>
            </c:dLbl>
            <c:dLbl>
              <c:idx val="1"/>
              <c:layout>
                <c:manualLayout>
                  <c:x val="0.1222222222222222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18C-463A-A53A-7AF2A3664AB1}"/>
                </c:ext>
              </c:extLst>
            </c:dLbl>
            <c:dLbl>
              <c:idx val="2"/>
              <c:layout>
                <c:manualLayout>
                  <c:x val="-7.5000000000000025E-2"/>
                  <c:y val="-6.0185185185185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18C-463A-A53A-7AF2A3664AB1}"/>
                </c:ext>
              </c:extLst>
            </c:dLbl>
            <c:dLbl>
              <c:idx val="3"/>
              <c:layout>
                <c:manualLayout>
                  <c:x val="-7.4999999999999997E-2"/>
                  <c:y val="-8.79629629629629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18C-463A-A53A-7AF2A3664AB1}"/>
                </c:ext>
              </c:extLst>
            </c:dLbl>
            <c:dLbl>
              <c:idx val="4"/>
              <c:layout>
                <c:manualLayout>
                  <c:x val="0.11666666666666667"/>
                  <c:y val="-8.33333333333333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18C-463A-A53A-7AF2A3664AB1}"/>
                </c:ext>
              </c:extLst>
            </c:dLbl>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Sheet5!$H$5:$H$10</c:f>
              <c:strCache>
                <c:ptCount val="5"/>
                <c:pt idx="0">
                  <c:v>Electronics</c:v>
                </c:pt>
                <c:pt idx="1">
                  <c:v>Furniture</c:v>
                </c:pt>
                <c:pt idx="2">
                  <c:v>IT Equipment</c:v>
                </c:pt>
                <c:pt idx="3">
                  <c:v>Office Supplies</c:v>
                </c:pt>
                <c:pt idx="4">
                  <c:v>Stationery</c:v>
                </c:pt>
              </c:strCache>
            </c:strRef>
          </c:cat>
          <c:val>
            <c:numRef>
              <c:f>Sheet5!$I$5:$I$10</c:f>
              <c:numCache>
                <c:formatCode>0.0%</c:formatCode>
                <c:ptCount val="5"/>
                <c:pt idx="0">
                  <c:v>0.2759568834905396</c:v>
                </c:pt>
                <c:pt idx="1">
                  <c:v>0.39767481010268996</c:v>
                </c:pt>
                <c:pt idx="2">
                  <c:v>0.2804205543113959</c:v>
                </c:pt>
                <c:pt idx="3">
                  <c:v>2.0382396302550159E-2</c:v>
                </c:pt>
                <c:pt idx="4">
                  <c:v>2.5565355792824457E-2</c:v>
                </c:pt>
              </c:numCache>
            </c:numRef>
          </c:val>
          <c:extLst>
            <c:ext xmlns:c16="http://schemas.microsoft.com/office/drawing/2014/chart" uri="{C3380CC4-5D6E-409C-BE32-E72D297353CC}">
              <c16:uniqueId val="{0000000A-118C-463A-A53A-7AF2A3664AB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F3864"/>
    </a:solidFill>
    <a:ln w="9525" cap="flat" cmpd="sng" algn="ctr">
      <a:solidFill>
        <a:schemeClr val="tx1">
          <a:lumMod val="15000"/>
          <a:lumOff val="85000"/>
        </a:schemeClr>
      </a:solidFill>
      <a:round/>
    </a:ln>
    <a:effectLst/>
  </c:spPr>
  <c:txPr>
    <a:bodyPr/>
    <a:lstStyle/>
    <a:p>
      <a:pPr>
        <a:defRPr>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[AlRiyan_Trading_Portfolio_RawData.xlsx]Sheet5!PivotTable15</c:name>
    <c:fmtId val="4"/>
  </c:pivotSource>
  <c:chart>
    <c:title>
      <c:tx>
        <c:rich>
          <a:bodyPr rot="0" spcFirstLastPara="1" vertOverflow="ellipsis" vert="horz" wrap="square" anchor="ctr" anchorCtr="1"/>
          <a:lstStyle/>
          <a:p>
            <a:pPr>
              <a:defRPr sz="1400" b="1" i="0" u="none" strike="noStrike" kern="1200" spc="0" baseline="0">
                <a:solidFill>
                  <a:srgbClr val="C9A84C"/>
                </a:solidFill>
                <a:latin typeface="+mn-lt"/>
                <a:ea typeface="+mn-ea"/>
                <a:cs typeface="+mn-cs"/>
              </a:defRPr>
            </a:pPr>
            <a:r>
              <a:rPr lang="en-IN" sz="1400" b="1" i="0" u="none" strike="noStrike" baseline="0">
                <a:solidFill>
                  <a:srgbClr val="C9A84C"/>
                </a:solidFill>
              </a:rPr>
              <a:t>Quarterly Profit Trend </a:t>
            </a:r>
            <a:endParaRPr lang="en-US" b="1">
              <a:solidFill>
                <a:srgbClr val="C9A84C"/>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C9A84C"/>
              </a:solidFill>
              <a:latin typeface="+mn-lt"/>
              <a:ea typeface="+mn-ea"/>
              <a:cs typeface="+mn-cs"/>
            </a:defRPr>
          </a:pPr>
          <a:endParaRPr lang="en-US"/>
        </a:p>
      </c:txPr>
    </c:title>
    <c:autoTitleDeleted val="0"/>
    <c:pivotFmts>
      <c:pivotFmt>
        <c:idx val="0"/>
        <c:spPr>
          <a:solidFill>
            <a:srgbClr val="C9A84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C9A84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C9A8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Sheet5!$F$13:$F$14</c:f>
              <c:strCache>
                <c:ptCount val="1"/>
                <c:pt idx="0">
                  <c:v>Total</c:v>
                </c:pt>
              </c:strCache>
            </c:strRef>
          </c:tx>
          <c:spPr>
            <a:solidFill>
              <a:srgbClr val="C9A84C"/>
            </a:solidFill>
            <a:ln>
              <a:noFill/>
            </a:ln>
            <a:effectLst/>
          </c:spPr>
          <c:invertIfNegative val="0"/>
          <c:cat>
            <c:strRef>
              <c:f>Sheet5!$E$15:$E$19</c:f>
              <c:strCache>
                <c:ptCount val="4"/>
                <c:pt idx="0">
                  <c:v>Q1</c:v>
                </c:pt>
                <c:pt idx="1">
                  <c:v>Q2</c:v>
                </c:pt>
                <c:pt idx="2">
                  <c:v>Q3</c:v>
                </c:pt>
                <c:pt idx="3">
                  <c:v>Q4</c:v>
                </c:pt>
              </c:strCache>
            </c:strRef>
          </c:cat>
          <c:val>
            <c:numRef>
              <c:f>Sheet5!$F$15:$F$19</c:f>
              <c:numCache>
                <c:formatCode>General</c:formatCode>
                <c:ptCount val="4"/>
                <c:pt idx="0">
                  <c:v>38098.5</c:v>
                </c:pt>
                <c:pt idx="1">
                  <c:v>42946.400000000009</c:v>
                </c:pt>
                <c:pt idx="2">
                  <c:v>38365.449999999997</c:v>
                </c:pt>
                <c:pt idx="3">
                  <c:v>32105.500000000007</c:v>
                </c:pt>
              </c:numCache>
            </c:numRef>
          </c:val>
          <c:extLst>
            <c:ext xmlns:c16="http://schemas.microsoft.com/office/drawing/2014/chart" uri="{C3380CC4-5D6E-409C-BE32-E72D297353CC}">
              <c16:uniqueId val="{00000000-43F2-47EA-B2B6-0FC26C5A79AE}"/>
            </c:ext>
          </c:extLst>
        </c:ser>
        <c:dLbls>
          <c:showLegendKey val="0"/>
          <c:showVal val="0"/>
          <c:showCatName val="0"/>
          <c:showSerName val="0"/>
          <c:showPercent val="0"/>
          <c:showBubbleSize val="0"/>
        </c:dLbls>
        <c:gapWidth val="219"/>
        <c:overlap val="-27"/>
        <c:axId val="1480292880"/>
        <c:axId val="1480310160"/>
      </c:barChart>
      <c:catAx>
        <c:axId val="148029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80310160"/>
        <c:crosses val="autoZero"/>
        <c:auto val="1"/>
        <c:lblAlgn val="ctr"/>
        <c:lblOffset val="100"/>
        <c:noMultiLvlLbl val="0"/>
      </c:catAx>
      <c:valAx>
        <c:axId val="1480310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80292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F386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[AlRiyan_Trading_Portfolio_RawData.xlsx]Sheet5!PivotTable16</c:name>
    <c:fmtId val="4"/>
  </c:pivotSource>
  <c:chart>
    <c:title>
      <c:tx>
        <c:rich>
          <a:bodyPr rot="0" spcFirstLastPara="1" vertOverflow="ellipsis" vert="horz" wrap="square" anchor="ctr" anchorCtr="1"/>
          <a:lstStyle/>
          <a:p>
            <a:pPr>
              <a:defRPr sz="1400" b="1" i="0" u="none" strike="noStrike" kern="1200" spc="0" baseline="0">
                <a:solidFill>
                  <a:srgbClr val="C9A84C"/>
                </a:solidFill>
                <a:latin typeface="+mn-lt"/>
                <a:ea typeface="+mn-ea"/>
                <a:cs typeface="+mn-cs"/>
              </a:defRPr>
            </a:pPr>
            <a:r>
              <a:rPr lang="en-IN" sz="1400" b="1" i="0" u="none" strike="noStrike" baseline="0">
                <a:solidFill>
                  <a:srgbClr val="C9A84C"/>
                </a:solidFill>
              </a:rPr>
              <a:t>Top 5 Salespersons</a:t>
            </a:r>
            <a:endParaRPr lang="en-US" b="1">
              <a:solidFill>
                <a:srgbClr val="C9A84C"/>
              </a:solidFill>
            </a:endParaRPr>
          </a:p>
        </c:rich>
      </c:tx>
      <c:layout>
        <c:manualLayout>
          <c:xMode val="edge"/>
          <c:yMode val="edge"/>
          <c:x val="0.37409711286089237"/>
          <c:y val="4.527559055118110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C9A84C"/>
              </a:solidFill>
              <a:latin typeface="+mn-lt"/>
              <a:ea typeface="+mn-ea"/>
              <a:cs typeface="+mn-cs"/>
            </a:defRPr>
          </a:pPr>
          <a:endParaRPr lang="en-US"/>
        </a:p>
      </c:txPr>
    </c:title>
    <c:autoTitleDeleted val="0"/>
    <c:pivotFmts>
      <c:pivotFmt>
        <c:idx val="0"/>
        <c:spPr>
          <a:solidFill>
            <a:srgbClr val="C9A8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9A8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9A8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Sheet5!$I$13:$I$14</c:f>
              <c:strCache>
                <c:ptCount val="1"/>
                <c:pt idx="0">
                  <c:v>Total</c:v>
                </c:pt>
              </c:strCache>
            </c:strRef>
          </c:tx>
          <c:spPr>
            <a:solidFill>
              <a:srgbClr val="C9A84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Sheet5!$H$15:$H$20</c:f>
              <c:strCache>
                <c:ptCount val="5"/>
                <c:pt idx="0">
                  <c:v>Ahmed Al-Ghamdi</c:v>
                </c:pt>
                <c:pt idx="1">
                  <c:v>Nora Bakr</c:v>
                </c:pt>
                <c:pt idx="2">
                  <c:v>Fatima Hassan</c:v>
                </c:pt>
                <c:pt idx="3">
                  <c:v>Omar Siddiqui</c:v>
                </c:pt>
                <c:pt idx="4">
                  <c:v>Riyan K</c:v>
                </c:pt>
              </c:strCache>
            </c:strRef>
          </c:cat>
          <c:val>
            <c:numRef>
              <c:f>Sheet5!$I$15:$I$20</c:f>
              <c:numCache>
                <c:formatCode>General</c:formatCode>
                <c:ptCount val="5"/>
                <c:pt idx="0">
                  <c:v>72363</c:v>
                </c:pt>
                <c:pt idx="1">
                  <c:v>70369</c:v>
                </c:pt>
                <c:pt idx="2">
                  <c:v>61109</c:v>
                </c:pt>
                <c:pt idx="3">
                  <c:v>59594</c:v>
                </c:pt>
                <c:pt idx="4">
                  <c:v>57565</c:v>
                </c:pt>
              </c:numCache>
            </c:numRef>
          </c:val>
          <c:extLst>
            <c:ext xmlns:c16="http://schemas.microsoft.com/office/drawing/2014/chart" uri="{C3380CC4-5D6E-409C-BE32-E72D297353CC}">
              <c16:uniqueId val="{00000000-0128-4870-9913-0AFE3455B61C}"/>
            </c:ext>
          </c:extLst>
        </c:ser>
        <c:dLbls>
          <c:dLblPos val="outEnd"/>
          <c:showLegendKey val="0"/>
          <c:showVal val="1"/>
          <c:showCatName val="0"/>
          <c:showSerName val="0"/>
          <c:showPercent val="0"/>
          <c:showBubbleSize val="0"/>
        </c:dLbls>
        <c:gapWidth val="182"/>
        <c:axId val="1480334160"/>
        <c:axId val="1480326960"/>
      </c:barChart>
      <c:catAx>
        <c:axId val="1480334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80326960"/>
        <c:crosses val="autoZero"/>
        <c:auto val="1"/>
        <c:lblAlgn val="ctr"/>
        <c:lblOffset val="100"/>
        <c:noMultiLvlLbl val="0"/>
      </c:catAx>
      <c:valAx>
        <c:axId val="1480326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80334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F386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5</xdr:col>
      <xdr:colOff>434340</xdr:colOff>
      <xdr:row>0</xdr:row>
      <xdr:rowOff>14835</xdr:rowOff>
    </xdr:from>
    <xdr:ext cx="7040880" cy="405432"/>
    <xdr:sp macro="" textlink="">
      <xdr:nvSpPr>
        <xdr:cNvPr id="3" name="TextBox 2">
          <a:extLst>
            <a:ext uri="{FF2B5EF4-FFF2-40B4-BE49-F238E27FC236}">
              <a16:creationId xmlns:a16="http://schemas.microsoft.com/office/drawing/2014/main" id="{66D09573-55A9-00A8-B6EC-3002662D692B}"/>
            </a:ext>
          </a:extLst>
        </xdr:cNvPr>
        <xdr:cNvSpPr txBox="1"/>
      </xdr:nvSpPr>
      <xdr:spPr>
        <a:xfrm>
          <a:off x="3482340" y="14835"/>
          <a:ext cx="704088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2000" b="1">
              <a:solidFill>
                <a:schemeClr val="bg1"/>
              </a:solidFill>
            </a:rPr>
            <a:t>AL-RIYAN TRADING CO. | FY 2023-24 Performance Report</a:t>
          </a:r>
        </a:p>
      </xdr:txBody>
    </xdr:sp>
    <xdr:clientData/>
  </xdr:oneCellAnchor>
  <xdr:twoCellAnchor>
    <xdr:from>
      <xdr:col>0</xdr:col>
      <xdr:colOff>152400</xdr:colOff>
      <xdr:row>2</xdr:row>
      <xdr:rowOff>91440</xdr:rowOff>
    </xdr:from>
    <xdr:to>
      <xdr:col>3</xdr:col>
      <xdr:colOff>213360</xdr:colOff>
      <xdr:row>5</xdr:row>
      <xdr:rowOff>106680</xdr:rowOff>
    </xdr:to>
    <xdr:sp macro="" textlink="">
      <xdr:nvSpPr>
        <xdr:cNvPr id="4" name="Rectangle: Rounded Corners 3">
          <a:extLst>
            <a:ext uri="{FF2B5EF4-FFF2-40B4-BE49-F238E27FC236}">
              <a16:creationId xmlns:a16="http://schemas.microsoft.com/office/drawing/2014/main" id="{EE08DEB8-6300-B25B-D7EA-CE2234C5E12B}"/>
            </a:ext>
          </a:extLst>
        </xdr:cNvPr>
        <xdr:cNvSpPr/>
      </xdr:nvSpPr>
      <xdr:spPr>
        <a:xfrm>
          <a:off x="152400" y="457200"/>
          <a:ext cx="1889760" cy="563880"/>
        </a:xfrm>
        <a:prstGeom prst="roundRect">
          <a:avLst/>
        </a:prstGeom>
        <a:solidFill>
          <a:srgbClr val="1F38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t>💰</a:t>
          </a:r>
          <a:r>
            <a:rPr lang="en-IN" sz="1100" b="1"/>
            <a:t>Total</a:t>
          </a:r>
          <a:r>
            <a:rPr lang="en-IN" sz="1100" b="1" baseline="0"/>
            <a:t> Revenue</a:t>
          </a:r>
          <a:endParaRPr lang="en-IN" sz="1100" b="1"/>
        </a:p>
      </xdr:txBody>
    </xdr:sp>
    <xdr:clientData/>
  </xdr:twoCellAnchor>
  <xdr:twoCellAnchor>
    <xdr:from>
      <xdr:col>11</xdr:col>
      <xdr:colOff>251460</xdr:colOff>
      <xdr:row>2</xdr:row>
      <xdr:rowOff>137160</xdr:rowOff>
    </xdr:from>
    <xdr:to>
      <xdr:col>14</xdr:col>
      <xdr:colOff>312420</xdr:colOff>
      <xdr:row>5</xdr:row>
      <xdr:rowOff>152400</xdr:rowOff>
    </xdr:to>
    <xdr:sp macro="" textlink="">
      <xdr:nvSpPr>
        <xdr:cNvPr id="5" name="Rectangle: Rounded Corners 4">
          <a:extLst>
            <a:ext uri="{FF2B5EF4-FFF2-40B4-BE49-F238E27FC236}">
              <a16:creationId xmlns:a16="http://schemas.microsoft.com/office/drawing/2014/main" id="{454766A8-2351-4603-A9E0-0A0AAD49A7CC}"/>
            </a:ext>
          </a:extLst>
        </xdr:cNvPr>
        <xdr:cNvSpPr/>
      </xdr:nvSpPr>
      <xdr:spPr>
        <a:xfrm>
          <a:off x="6957060" y="502920"/>
          <a:ext cx="1889760" cy="563880"/>
        </a:xfrm>
        <a:prstGeom prst="roundRect">
          <a:avLst/>
        </a:prstGeom>
        <a:solidFill>
          <a:srgbClr val="C9A84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t>📍</a:t>
          </a:r>
          <a:r>
            <a:rPr lang="en-IN" sz="1100" b="1"/>
            <a:t>Best Region</a:t>
          </a:r>
          <a:r>
            <a:rPr lang="en-IN" sz="1100"/>
            <a:t>	</a:t>
          </a:r>
        </a:p>
      </xdr:txBody>
    </xdr:sp>
    <xdr:clientData/>
  </xdr:twoCellAnchor>
  <xdr:twoCellAnchor>
    <xdr:from>
      <xdr:col>7</xdr:col>
      <xdr:colOff>365760</xdr:colOff>
      <xdr:row>2</xdr:row>
      <xdr:rowOff>83820</xdr:rowOff>
    </xdr:from>
    <xdr:to>
      <xdr:col>10</xdr:col>
      <xdr:colOff>426720</xdr:colOff>
      <xdr:row>5</xdr:row>
      <xdr:rowOff>99060</xdr:rowOff>
    </xdr:to>
    <xdr:sp macro="" textlink="">
      <xdr:nvSpPr>
        <xdr:cNvPr id="6" name="Rectangle: Rounded Corners 5">
          <a:extLst>
            <a:ext uri="{FF2B5EF4-FFF2-40B4-BE49-F238E27FC236}">
              <a16:creationId xmlns:a16="http://schemas.microsoft.com/office/drawing/2014/main" id="{E4920A74-594A-4143-9F69-D03DE833E8F5}"/>
            </a:ext>
          </a:extLst>
        </xdr:cNvPr>
        <xdr:cNvSpPr/>
      </xdr:nvSpPr>
      <xdr:spPr>
        <a:xfrm>
          <a:off x="4632960" y="449580"/>
          <a:ext cx="1889760" cy="563880"/>
        </a:xfrm>
        <a:prstGeom prst="roundRect">
          <a:avLst/>
        </a:prstGeom>
        <a:solidFill>
          <a:srgbClr val="1F38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t>🗓️</a:t>
          </a:r>
          <a:r>
            <a:rPr lang="en-IN" sz="1100" b="1"/>
            <a:t>Best Month</a:t>
          </a:r>
        </a:p>
      </xdr:txBody>
    </xdr:sp>
    <xdr:clientData/>
  </xdr:twoCellAnchor>
  <xdr:twoCellAnchor>
    <xdr:from>
      <xdr:col>4</xdr:col>
      <xdr:colOff>7620</xdr:colOff>
      <xdr:row>2</xdr:row>
      <xdr:rowOff>91440</xdr:rowOff>
    </xdr:from>
    <xdr:to>
      <xdr:col>7</xdr:col>
      <xdr:colOff>68580</xdr:colOff>
      <xdr:row>5</xdr:row>
      <xdr:rowOff>106680</xdr:rowOff>
    </xdr:to>
    <xdr:sp macro="" textlink="">
      <xdr:nvSpPr>
        <xdr:cNvPr id="7" name="Rectangle: Rounded Corners 6">
          <a:extLst>
            <a:ext uri="{FF2B5EF4-FFF2-40B4-BE49-F238E27FC236}">
              <a16:creationId xmlns:a16="http://schemas.microsoft.com/office/drawing/2014/main" id="{0ACE8A06-AEFE-41B0-B1F7-FEBD3C7F51E1}"/>
            </a:ext>
          </a:extLst>
        </xdr:cNvPr>
        <xdr:cNvSpPr/>
      </xdr:nvSpPr>
      <xdr:spPr>
        <a:xfrm>
          <a:off x="2446020" y="457200"/>
          <a:ext cx="1889760" cy="563880"/>
        </a:xfrm>
        <a:prstGeom prst="roundRect">
          <a:avLst/>
        </a:prstGeom>
        <a:solidFill>
          <a:srgbClr val="C9A84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t>📈</a:t>
          </a:r>
          <a:r>
            <a:rPr lang="en-IN" sz="1100" b="1"/>
            <a:t>Total Profit</a:t>
          </a:r>
        </a:p>
      </xdr:txBody>
    </xdr:sp>
    <xdr:clientData/>
  </xdr:twoCellAnchor>
  <xdr:twoCellAnchor>
    <xdr:from>
      <xdr:col>0</xdr:col>
      <xdr:colOff>381000</xdr:colOff>
      <xdr:row>3</xdr:row>
      <xdr:rowOff>121920</xdr:rowOff>
    </xdr:from>
    <xdr:to>
      <xdr:col>2</xdr:col>
      <xdr:colOff>579120</xdr:colOff>
      <xdr:row>5</xdr:row>
      <xdr:rowOff>68580</xdr:rowOff>
    </xdr:to>
    <xdr:sp macro="" textlink="Analysis!B2">
      <xdr:nvSpPr>
        <xdr:cNvPr id="8" name="TextBox 7">
          <a:extLst>
            <a:ext uri="{FF2B5EF4-FFF2-40B4-BE49-F238E27FC236}">
              <a16:creationId xmlns:a16="http://schemas.microsoft.com/office/drawing/2014/main" id="{FA2313B9-B34F-5DA6-E60E-550105372164}"/>
            </a:ext>
          </a:extLst>
        </xdr:cNvPr>
        <xdr:cNvSpPr txBox="1"/>
      </xdr:nvSpPr>
      <xdr:spPr>
        <a:xfrm>
          <a:off x="381000" y="670560"/>
          <a:ext cx="141732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8F985EE-4AFB-4061-9B70-24A41C71476E}" type="TxLink">
            <a:rPr lang="en-US" sz="1600" b="1" i="0" u="none" strike="noStrike">
              <a:solidFill>
                <a:srgbClr val="C9A84C"/>
              </a:solidFill>
              <a:latin typeface="Calibri"/>
              <a:ea typeface="Calibri"/>
              <a:cs typeface="Calibri"/>
            </a:rPr>
            <a:pPr algn="ctr"/>
            <a:t>3,92,054 SAR</a:t>
          </a:fld>
          <a:endParaRPr lang="en-IN" sz="1600" b="1">
            <a:solidFill>
              <a:srgbClr val="C9A84C"/>
            </a:solidFill>
          </a:endParaRPr>
        </a:p>
      </xdr:txBody>
    </xdr:sp>
    <xdr:clientData/>
  </xdr:twoCellAnchor>
  <xdr:oneCellAnchor>
    <xdr:from>
      <xdr:col>4</xdr:col>
      <xdr:colOff>312420</xdr:colOff>
      <xdr:row>3</xdr:row>
      <xdr:rowOff>121920</xdr:rowOff>
    </xdr:from>
    <xdr:ext cx="1297728" cy="342786"/>
    <xdr:sp macro="" textlink="Analysis!B4">
      <xdr:nvSpPr>
        <xdr:cNvPr id="10" name="TextBox 9">
          <a:extLst>
            <a:ext uri="{FF2B5EF4-FFF2-40B4-BE49-F238E27FC236}">
              <a16:creationId xmlns:a16="http://schemas.microsoft.com/office/drawing/2014/main" id="{111BD5BA-FFA4-9B0F-83CF-8FE922BEFA7B}"/>
            </a:ext>
          </a:extLst>
        </xdr:cNvPr>
        <xdr:cNvSpPr txBox="1"/>
      </xdr:nvSpPr>
      <xdr:spPr>
        <a:xfrm>
          <a:off x="2750820" y="670560"/>
          <a:ext cx="1297728"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D391A7E0-954D-4CF7-BD5A-593918A4F082}" type="TxLink">
            <a:rPr lang="en-US" sz="1600" b="1" i="0" u="none" strike="noStrike">
              <a:solidFill>
                <a:srgbClr val="1F3864"/>
              </a:solidFill>
              <a:latin typeface="Calibri"/>
              <a:ea typeface="Calibri"/>
              <a:cs typeface="Calibri"/>
            </a:rPr>
            <a:pPr algn="ctr"/>
            <a:t>1,51,516 SAR</a:t>
          </a:fld>
          <a:endParaRPr lang="en-IN" sz="1600" b="1">
            <a:solidFill>
              <a:srgbClr val="1F3864"/>
            </a:solidFill>
          </a:endParaRPr>
        </a:p>
      </xdr:txBody>
    </xdr:sp>
    <xdr:clientData/>
  </xdr:oneCellAnchor>
  <xdr:oneCellAnchor>
    <xdr:from>
      <xdr:col>8</xdr:col>
      <xdr:colOff>281940</xdr:colOff>
      <xdr:row>3</xdr:row>
      <xdr:rowOff>114300</xdr:rowOff>
    </xdr:from>
    <xdr:ext cx="857735" cy="342786"/>
    <xdr:sp macro="" textlink="Analysis!J13">
      <xdr:nvSpPr>
        <xdr:cNvPr id="11" name="TextBox 10">
          <a:extLst>
            <a:ext uri="{FF2B5EF4-FFF2-40B4-BE49-F238E27FC236}">
              <a16:creationId xmlns:a16="http://schemas.microsoft.com/office/drawing/2014/main" id="{D74866CB-1901-78E8-DDD0-24488E6BDC22}"/>
            </a:ext>
          </a:extLst>
        </xdr:cNvPr>
        <xdr:cNvSpPr txBox="1"/>
      </xdr:nvSpPr>
      <xdr:spPr>
        <a:xfrm>
          <a:off x="5158740" y="662940"/>
          <a:ext cx="85773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B6CFC80A-4100-46B7-9057-77B0D676DEE3}" type="TxLink">
            <a:rPr lang="en-US" sz="1600" b="1" i="0" u="none" strike="noStrike">
              <a:solidFill>
                <a:srgbClr val="C9A84C"/>
              </a:solidFill>
              <a:latin typeface="Arial"/>
              <a:cs typeface="Arial"/>
            </a:rPr>
            <a:pPr algn="ctr"/>
            <a:t>Dec-23</a:t>
          </a:fld>
          <a:endParaRPr lang="en-IN" sz="2000" b="1">
            <a:solidFill>
              <a:srgbClr val="C9A84C"/>
            </a:solidFill>
          </a:endParaRPr>
        </a:p>
      </xdr:txBody>
    </xdr:sp>
    <xdr:clientData/>
  </xdr:oneCellAnchor>
  <xdr:oneCellAnchor>
    <xdr:from>
      <xdr:col>12</xdr:col>
      <xdr:colOff>114300</xdr:colOff>
      <xdr:row>3</xdr:row>
      <xdr:rowOff>152400</xdr:rowOff>
    </xdr:from>
    <xdr:ext cx="733983" cy="342786"/>
    <xdr:sp macro="" textlink="Analysis!A9">
      <xdr:nvSpPr>
        <xdr:cNvPr id="12" name="TextBox 11">
          <a:extLst>
            <a:ext uri="{FF2B5EF4-FFF2-40B4-BE49-F238E27FC236}">
              <a16:creationId xmlns:a16="http://schemas.microsoft.com/office/drawing/2014/main" id="{83CEB62F-4A25-792C-5194-51416B889612}"/>
            </a:ext>
          </a:extLst>
        </xdr:cNvPr>
        <xdr:cNvSpPr txBox="1"/>
      </xdr:nvSpPr>
      <xdr:spPr>
        <a:xfrm>
          <a:off x="7429500" y="701040"/>
          <a:ext cx="733983"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9916049-E722-4306-B291-3EA1066DDF3F}" type="TxLink">
            <a:rPr lang="en-US" sz="1600" b="1" i="0" u="none" strike="noStrike">
              <a:solidFill>
                <a:srgbClr val="1F3864"/>
              </a:solidFill>
              <a:latin typeface="Calibri"/>
              <a:ea typeface="Calibri"/>
              <a:cs typeface="Calibri"/>
            </a:rPr>
            <a:pPr/>
            <a:t>Mecca</a:t>
          </a:fld>
          <a:endParaRPr lang="en-IN" sz="1600" b="1">
            <a:solidFill>
              <a:srgbClr val="1F3864"/>
            </a:solidFill>
          </a:endParaRPr>
        </a:p>
      </xdr:txBody>
    </xdr:sp>
    <xdr:clientData/>
  </xdr:oneCellAnchor>
  <xdr:twoCellAnchor>
    <xdr:from>
      <xdr:col>0</xdr:col>
      <xdr:colOff>144780</xdr:colOff>
      <xdr:row>6</xdr:row>
      <xdr:rowOff>53340</xdr:rowOff>
    </xdr:from>
    <xdr:to>
      <xdr:col>6</xdr:col>
      <xdr:colOff>533400</xdr:colOff>
      <xdr:row>17</xdr:row>
      <xdr:rowOff>83820</xdr:rowOff>
    </xdr:to>
    <xdr:graphicFrame macro="">
      <xdr:nvGraphicFramePr>
        <xdr:cNvPr id="13" name="Chart 12">
          <a:extLst>
            <a:ext uri="{FF2B5EF4-FFF2-40B4-BE49-F238E27FC236}">
              <a16:creationId xmlns:a16="http://schemas.microsoft.com/office/drawing/2014/main" id="{932EF2F7-6BAC-4760-9874-F0AB2BEA66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579120</xdr:colOff>
      <xdr:row>6</xdr:row>
      <xdr:rowOff>99060</xdr:rowOff>
    </xdr:from>
    <xdr:to>
      <xdr:col>14</xdr:col>
      <xdr:colOff>274320</xdr:colOff>
      <xdr:row>17</xdr:row>
      <xdr:rowOff>83820</xdr:rowOff>
    </xdr:to>
    <xdr:graphicFrame macro="">
      <xdr:nvGraphicFramePr>
        <xdr:cNvPr id="14" name="Chart 13">
          <a:extLst>
            <a:ext uri="{FF2B5EF4-FFF2-40B4-BE49-F238E27FC236}">
              <a16:creationId xmlns:a16="http://schemas.microsoft.com/office/drawing/2014/main" id="{059269D4-5491-4D6F-AFF4-6F8FD8006C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160020</xdr:colOff>
      <xdr:row>17</xdr:row>
      <xdr:rowOff>152400</xdr:rowOff>
    </xdr:from>
    <xdr:to>
      <xdr:col>6</xdr:col>
      <xdr:colOff>347133</xdr:colOff>
      <xdr:row>28</xdr:row>
      <xdr:rowOff>53340</xdr:rowOff>
    </xdr:to>
    <xdr:graphicFrame macro="">
      <xdr:nvGraphicFramePr>
        <xdr:cNvPr id="15" name="Chart 14">
          <a:extLst>
            <a:ext uri="{FF2B5EF4-FFF2-40B4-BE49-F238E27FC236}">
              <a16:creationId xmlns:a16="http://schemas.microsoft.com/office/drawing/2014/main" id="{C31367F9-295E-4489-99D6-BC2A905699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423333</xdr:colOff>
      <xdr:row>17</xdr:row>
      <xdr:rowOff>160866</xdr:rowOff>
    </xdr:from>
    <xdr:to>
      <xdr:col>13</xdr:col>
      <xdr:colOff>152400</xdr:colOff>
      <xdr:row>28</xdr:row>
      <xdr:rowOff>33865</xdr:rowOff>
    </xdr:to>
    <xdr:graphicFrame macro="">
      <xdr:nvGraphicFramePr>
        <xdr:cNvPr id="16" name="Chart 15">
          <a:extLst>
            <a:ext uri="{FF2B5EF4-FFF2-40B4-BE49-F238E27FC236}">
              <a16:creationId xmlns:a16="http://schemas.microsoft.com/office/drawing/2014/main" id="{77DC4AB7-ADF3-48B5-BE69-B4C916A709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194733</xdr:colOff>
      <xdr:row>17</xdr:row>
      <xdr:rowOff>177802</xdr:rowOff>
    </xdr:from>
    <xdr:to>
      <xdr:col>19</xdr:col>
      <xdr:colOff>558800</xdr:colOff>
      <xdr:row>28</xdr:row>
      <xdr:rowOff>33866</xdr:rowOff>
    </xdr:to>
    <xdr:graphicFrame macro="">
      <xdr:nvGraphicFramePr>
        <xdr:cNvPr id="17" name="Chart 16">
          <a:extLst>
            <a:ext uri="{FF2B5EF4-FFF2-40B4-BE49-F238E27FC236}">
              <a16:creationId xmlns:a16="http://schemas.microsoft.com/office/drawing/2014/main" id="{F0A31E66-2D7E-4635-93C3-598DB17328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485139</xdr:colOff>
      <xdr:row>2</xdr:row>
      <xdr:rowOff>162560</xdr:rowOff>
    </xdr:from>
    <xdr:to>
      <xdr:col>18</xdr:col>
      <xdr:colOff>355600</xdr:colOff>
      <xdr:row>9</xdr:row>
      <xdr:rowOff>33866</xdr:rowOff>
    </xdr:to>
    <mc:AlternateContent xmlns:mc="http://schemas.openxmlformats.org/markup-compatibility/2006" xmlns:a14="http://schemas.microsoft.com/office/drawing/2010/main">
      <mc:Choice Requires="a14">
        <xdr:graphicFrame macro="">
          <xdr:nvGraphicFramePr>
            <xdr:cNvPr id="19" name="Region">
              <a:extLst>
                <a:ext uri="{FF2B5EF4-FFF2-40B4-BE49-F238E27FC236}">
                  <a16:creationId xmlns:a16="http://schemas.microsoft.com/office/drawing/2014/main" id="{F172634B-EE1A-96C5-977A-22600FEB4CE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019539" y="528320"/>
              <a:ext cx="2308861" cy="11514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494453</xdr:colOff>
      <xdr:row>9</xdr:row>
      <xdr:rowOff>121073</xdr:rowOff>
    </xdr:from>
    <xdr:to>
      <xdr:col>18</xdr:col>
      <xdr:colOff>389466</xdr:colOff>
      <xdr:row>14</xdr:row>
      <xdr:rowOff>160867</xdr:rowOff>
    </xdr:to>
    <mc:AlternateContent xmlns:mc="http://schemas.openxmlformats.org/markup-compatibility/2006" xmlns:a14="http://schemas.microsoft.com/office/drawing/2010/main">
      <mc:Choice Requires="a14">
        <xdr:graphicFrame macro="">
          <xdr:nvGraphicFramePr>
            <xdr:cNvPr id="21" name="Quarter">
              <a:extLst>
                <a:ext uri="{FF2B5EF4-FFF2-40B4-BE49-F238E27FC236}">
                  <a16:creationId xmlns:a16="http://schemas.microsoft.com/office/drawing/2014/main" id="{50560700-81D3-5668-6E49-B700A39EA906}"/>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9028853" y="1766993"/>
              <a:ext cx="2333413" cy="9541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YAN" refreshedDate="46140.010821412034" createdVersion="8" refreshedVersion="8" minRefreshableVersion="3" recordCount="172" xr:uid="{4991F549-BDE6-4816-8095-135E4388345B}">
  <cacheSource type="worksheet">
    <worksheetSource name="Table2"/>
  </cacheSource>
  <cacheFields count="15">
    <cacheField name="Order_ID" numFmtId="0">
      <sharedItems/>
    </cacheField>
    <cacheField name="Date" numFmtId="164">
      <sharedItems containsSemiMixedTypes="0" containsNonDate="0" containsDate="1" containsString="0" minDate="2023-04-02T00:00:00" maxDate="2024-03-24T00:00:00"/>
    </cacheField>
    <cacheField name="Month" numFmtId="0">
      <sharedItems count="12">
        <s v="Apr-23"/>
        <s v="May-23"/>
        <s v="Jun-23"/>
        <s v="Jul-23"/>
        <s v="Aug-23"/>
        <s v="Sep-23"/>
        <s v="Oct-23"/>
        <s v="Nov-23"/>
        <s v="Dec-23"/>
        <s v="Jan-24"/>
        <s v="Feb-24"/>
        <s v="Mar-24"/>
      </sharedItems>
    </cacheField>
    <cacheField name="Quarter" numFmtId="0">
      <sharedItems count="4">
        <s v="Q4"/>
        <s v="Q1"/>
        <s v="Q2"/>
        <s v="Q3"/>
      </sharedItems>
    </cacheField>
    <cacheField name="Salesperson" numFmtId="0">
      <sharedItems count="7">
        <s v="Fatima Hassan"/>
        <s v="Omar Siddiqui"/>
        <s v="Riyan K"/>
        <s v="Sara Al-Otaibi"/>
        <s v="Khalid Nasser"/>
        <s v="Ahmed Al-Ghamdi"/>
        <s v="Nora Bakr"/>
      </sharedItems>
    </cacheField>
    <cacheField name="Region" numFmtId="0">
      <sharedItems count="5">
        <s v="Jeddah"/>
        <s v="Riyadh"/>
        <s v="Mecca"/>
        <s v="Medina"/>
        <s v="Dammam"/>
      </sharedItems>
    </cacheField>
    <cacheField name="Product_Category" numFmtId="0">
      <sharedItems count="5">
        <s v="Electronics"/>
        <s v="IT Equipment"/>
        <s v="Office Supplies"/>
        <s v="Furniture"/>
        <s v="Stationery"/>
      </sharedItems>
    </cacheField>
    <cacheField name="Product_Name" numFmtId="0">
      <sharedItems count="25">
        <s v="Logitech Keyboard"/>
        <s v="Webcam"/>
        <s v="Laptop HP"/>
        <s v="RAM Module"/>
        <s v="Dell Monitor"/>
        <s v="Pen Box"/>
        <s v="Filing Cabinet"/>
        <s v="Scissors"/>
        <s v="Whiteboard"/>
        <s v="USB Hub"/>
        <s v="Standing Desk"/>
        <s v="Office Chair"/>
        <s v="Stapler"/>
        <s v="Wi-Fi Router"/>
        <s v="Binder Clips"/>
        <s v="External SSD"/>
        <s v="Sticky Notes"/>
        <s v="Notebook"/>
        <s v="Correction Tape"/>
        <s v="Highlighters"/>
        <s v="Network Switch"/>
        <s v="A4 Paper Ream"/>
        <s v="Bookshelf"/>
        <s v="Printer"/>
        <s v="Marker Set"/>
      </sharedItems>
    </cacheField>
    <cacheField name="Units_Sold" numFmtId="0">
      <sharedItems containsSemiMixedTypes="0" containsString="0" containsNumber="1" containsInteger="1" minValue="1" maxValue="25"/>
    </cacheField>
    <cacheField name="Unit_Price_SAR" numFmtId="165">
      <sharedItems containsSemiMixedTypes="0" containsString="0" containsNumber="1" containsInteger="1" minValue="12" maxValue="620"/>
    </cacheField>
    <cacheField name="Total_Revenue_SAR" numFmtId="165">
      <sharedItems containsSemiMixedTypes="0" containsString="0" containsNumber="1" containsInteger="1" minValue="14" maxValue="14880"/>
    </cacheField>
    <cacheField name="Cost_SAR" numFmtId="165">
      <sharedItems containsSemiMixedTypes="0" containsString="0" containsNumber="1" minValue="6.3" maxValue="8928"/>
    </cacheField>
    <cacheField name="Profit_SAR" numFmtId="165">
      <sharedItems containsSemiMixedTypes="0" containsString="0" containsNumber="1" minValue="7.7" maxValue="5952"/>
    </cacheField>
    <cacheField name="profit_Margine%" numFmtId="9">
      <sharedItems containsSemiMixedTypes="0" containsString="0" containsNumber="1" minValue="0.35" maxValue="0.55000000000000004"/>
    </cacheField>
    <cacheField name="Perfomance_flag" numFmtId="0">
      <sharedItems/>
    </cacheField>
  </cacheFields>
  <extLst>
    <ext xmlns:x14="http://schemas.microsoft.com/office/spreadsheetml/2009/9/main" uri="{725AE2AE-9491-48be-B2B4-4EB974FC3084}">
      <x14:pivotCacheDefinition pivotCacheId="5709789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N" refreshedDate="46140.851917245367" backgroundQuery="1" createdVersion="8" refreshedVersion="8" minRefreshableVersion="3" recordCount="0" supportSubquery="1" supportAdvancedDrill="1" xr:uid="{40A4A067-31D4-49B7-9D05-011D6F5AC00D}">
  <cacheSource type="external" connectionId="1"/>
  <cacheFields count="3">
    <cacheField name="[Table1].[Month].[Month]" caption="Month" numFmtId="0" level="1">
      <sharedItems count="12">
        <s v="Apr-23"/>
        <s v="Aug-23"/>
        <s v="Dec-23"/>
        <s v="Feb-24"/>
        <s v="Jan-24"/>
        <s v="Jul-23"/>
        <s v="Jun-23"/>
        <s v="Mar-24"/>
        <s v="May-23"/>
        <s v="Nov-23"/>
        <s v="Oct-23"/>
        <s v="Sep-23"/>
      </sharedItems>
    </cacheField>
    <cacheField name="[Table2].[Region].[Region]" caption="Region" numFmtId="0" hierarchy="11" level="1">
      <sharedItems count="5">
        <s v="Dammam"/>
        <s v="Jeddah"/>
        <s v="Mecca"/>
        <s v="Medina"/>
        <s v="Riyadh"/>
      </sharedItems>
    </cacheField>
    <cacheField name="[Measures].[Sum of Total_Revenue_SAR]" caption="Sum of Total_Revenue_SAR" numFmtId="0" hierarchy="26" level="32767"/>
  </cacheFields>
  <cacheHierarchies count="32">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Quarter]" caption="Quarter" attribute="1" defaultMemberUniqueName="[Table1].[Quarter].[All]" allUniqueName="[Table1].[Quarter].[All]" dimensionUniqueName="[Table1]" displayFolder="" count="0" memberValueDatatype="130" unbalanced="0"/>
    <cacheHierarchy uniqueName="[Table1].[Target_SAR]" caption="Target_SAR" attribute="1" defaultMemberUniqueName="[Table1].[Target_SAR].[All]" allUniqueName="[Table1].[Target_SAR].[All]" dimensionUniqueName="[Table1]" displayFolder="" count="0" memberValueDatatype="20" unbalanced="0"/>
    <cacheHierarchy uniqueName="[Table1].[Actual_SAR]" caption="Actual_SAR" attribute="1" defaultMemberUniqueName="[Table1].[Actual_SAR].[All]" allUniqueName="[Table1].[Actual_SAR].[All]" dimensionUniqueName="[Table1]" displayFolder="" count="0" memberValueDatatype="20" unbalanced="0"/>
    <cacheHierarchy uniqueName="[Table1].[Variance_SAR]" caption="Variance_SAR" attribute="1" defaultMemberUniqueName="[Table1].[Variance_SAR].[All]" allUniqueName="[Table1].[Variance_SAR].[All]" dimensionUniqueName="[Table1]" displayFolder="" count="0" memberValueDatatype="20" unbalanced="0"/>
    <cacheHierarchy uniqueName="[Table1].[MoM Growth%]" caption="MoM Growth%" attribute="1" defaultMemberUniqueName="[Table1].[MoM Growth%].[All]" allUniqueName="[Table1].[MoM Growth%].[All]" dimensionUniqueName="[Table1]" displayFolder="" count="0" memberValueDatatype="5" unbalanced="0"/>
    <cacheHierarchy uniqueName="[Table2].[Order_ID]" caption="Order_ID" attribute="1" defaultMemberUniqueName="[Table2].[Order_ID].[All]" allUniqueName="[Table2].[Order_ID].[All]" dimensionUniqueName="[Table2]"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Month]" caption="Month" attribute="1" defaultMemberUniqueName="[Table2].[Month].[All]" allUniqueName="[Table2].[Month].[All]" dimensionUniqueName="[Table2]" displayFolder="" count="0" memberValueDatatype="130" unbalanced="0"/>
    <cacheHierarchy uniqueName="[Table2].[Quarter]" caption="Quarter" attribute="1" defaultMemberUniqueName="[Table2].[Quarter].[All]" allUniqueName="[Table2].[Quarter].[All]" dimensionUniqueName="[Table2]" displayFolder="" count="2" memberValueDatatype="130" unbalanced="0"/>
    <cacheHierarchy uniqueName="[Table2].[Salesperson]" caption="Salesperson" attribute="1" defaultMemberUniqueName="[Table2].[Salesperson].[All]" allUniqueName="[Table2].[Salesperson].[All]" dimensionUniqueName="[Table2]" displayFolder="" count="0" memberValueDatatype="130" unbalanced="0"/>
    <cacheHierarchy uniqueName="[Table2].[Region]" caption="Region" attribute="1" defaultMemberUniqueName="[Table2].[Region].[All]" allUniqueName="[Table2].[Region].[All]" dimensionUniqueName="[Table2]" displayFolder="" count="2" memberValueDatatype="130" unbalanced="0">
      <fieldsUsage count="2">
        <fieldUsage x="-1"/>
        <fieldUsage x="1"/>
      </fieldsUsage>
    </cacheHierarchy>
    <cacheHierarchy uniqueName="[Table2].[Product_Category]" caption="Product_Category" attribute="1" defaultMemberUniqueName="[Table2].[Product_Category].[All]" allUniqueName="[Table2].[Product_Category].[All]" dimensionUniqueName="[Table2]" displayFolder="" count="0"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Units_Sold]" caption="Units_Sold" attribute="1" defaultMemberUniqueName="[Table2].[Units_Sold].[All]" allUniqueName="[Table2].[Units_Sold].[All]" dimensionUniqueName="[Table2]" displayFolder="" count="0" memberValueDatatype="20" unbalanced="0"/>
    <cacheHierarchy uniqueName="[Table2].[Unit_Price_SAR]" caption="Unit_Price_SAR" attribute="1" defaultMemberUniqueName="[Table2].[Unit_Price_SAR].[All]" allUniqueName="[Table2].[Unit_Price_SAR].[All]" dimensionUniqueName="[Table2]" displayFolder="" count="0" memberValueDatatype="20" unbalanced="0"/>
    <cacheHierarchy uniqueName="[Table2].[Total_Revenue_SAR]" caption="Total_Revenue_SAR" attribute="1" defaultMemberUniqueName="[Table2].[Total_Revenue_SAR].[All]" allUniqueName="[Table2].[Total_Revenue_SAR].[All]" dimensionUniqueName="[Table2]" displayFolder="" count="0" memberValueDatatype="20" unbalanced="0"/>
    <cacheHierarchy uniqueName="[Table2].[Cost_SAR]" caption="Cost_SAR" attribute="1" defaultMemberUniqueName="[Table2].[Cost_SAR].[All]" allUniqueName="[Table2].[Cost_SAR].[All]" dimensionUniqueName="[Table2]" displayFolder="" count="0" memberValueDatatype="5" unbalanced="0"/>
    <cacheHierarchy uniqueName="[Table2].[Profit_SAR]" caption="Profit_SAR" attribute="1" defaultMemberUniqueName="[Table2].[Profit_SAR].[All]" allUniqueName="[Table2].[Profit_SAR].[All]" dimensionUniqueName="[Table2]" displayFolder="" count="0" memberValueDatatype="5" unbalanced="0"/>
    <cacheHierarchy uniqueName="[Table2].[Profit_Margin%]" caption="Profit_Margin%" attribute="1" defaultMemberUniqueName="[Table2].[Profit_Margin%].[All]" allUniqueName="[Table2].[Profit_Margin%].[All]" dimensionUniqueName="[Table2]" displayFolder="" count="0" memberValueDatatype="5" unbalanced="0"/>
    <cacheHierarchy uniqueName="[Table2].[Performance_Flag]" caption="Performance_Flag" attribute="1" defaultMemberUniqueName="[Table2].[Performance_Flag].[All]" allUniqueName="[Table2].[Performance_Flag].[All]" dimensionUniqueName="[Table2]" displayFolder="" count="0" memberValueDatatype="130" unbalanced="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arget_SAR]" caption="Sum of Target_SAR" measure="1" displayFolder="" measureGroup="Table1" count="0" hidden="1">
      <extLst>
        <ext xmlns:x15="http://schemas.microsoft.com/office/spreadsheetml/2010/11/main" uri="{B97F6D7D-B522-45F9-BDA1-12C45D357490}">
          <x15:cacheHierarchy aggregatedColumn="2"/>
        </ext>
      </extLst>
    </cacheHierarchy>
    <cacheHierarchy uniqueName="[Measures].[Sum of Actual_SAR]" caption="Sum of Actual_SAR" measure="1" displayFolder="" measureGroup="Table1" count="0" hidden="1">
      <extLst>
        <ext xmlns:x15="http://schemas.microsoft.com/office/spreadsheetml/2010/11/main" uri="{B97F6D7D-B522-45F9-BDA1-12C45D357490}">
          <x15:cacheHierarchy aggregatedColumn="3"/>
        </ext>
      </extLst>
    </cacheHierarchy>
    <cacheHierarchy uniqueName="[Measures].[Sum of Total_Revenue_SAR]" caption="Sum of Total_Revenue_SAR" measure="1" displayFolder="" measureGroup="Table2"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Units_Sold]" caption="Sum of Units_Sold" measure="1" displayFolder="" measureGroup="Table2" count="0" hidden="1">
      <extLst>
        <ext xmlns:x15="http://schemas.microsoft.com/office/spreadsheetml/2010/11/main" uri="{B97F6D7D-B522-45F9-BDA1-12C45D357490}">
          <x15:cacheHierarchy aggregatedColumn="14"/>
        </ext>
      </extLst>
    </cacheHierarchy>
    <cacheHierarchy uniqueName="[Measures].[Sum of Cost_SAR]" caption="Sum of Cost_SAR" measure="1" displayFolder="" measureGroup="Table2" count="0" hidden="1">
      <extLst>
        <ext xmlns:x15="http://schemas.microsoft.com/office/spreadsheetml/2010/11/main" uri="{B97F6D7D-B522-45F9-BDA1-12C45D357490}">
          <x15:cacheHierarchy aggregatedColumn="17"/>
        </ext>
      </extLst>
    </cacheHierarchy>
    <cacheHierarchy uniqueName="[Measures].[Sum of Profit_Margin%]" caption="Sum of Profit_Margin%" measure="1" displayFolder="" measureGroup="Table2" count="0" hidden="1">
      <extLst>
        <ext xmlns:x15="http://schemas.microsoft.com/office/spreadsheetml/2010/11/main" uri="{B97F6D7D-B522-45F9-BDA1-12C45D357490}">
          <x15:cacheHierarchy aggregatedColumn="19"/>
        </ext>
      </extLst>
    </cacheHierarchy>
    <cacheHierarchy uniqueName="[Measures].[Average of Profit_Margin%]" caption="Average of Profit_Margin%" measure="1" displayFolder="" measureGroup="Table2" count="0" hidden="1">
      <extLst>
        <ext xmlns:x15="http://schemas.microsoft.com/office/spreadsheetml/2010/11/main" uri="{B97F6D7D-B522-45F9-BDA1-12C45D357490}">
          <x15:cacheHierarchy aggregatedColumn="19"/>
        </ext>
      </extLst>
    </cacheHierarchy>
    <cacheHierarchy uniqueName="[Measures].[Sum of Profit_SAR]" caption="Sum of Profit_SAR" measure="1" displayFolder="" measureGroup="Table2" count="0" hidden="1">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N" refreshedDate="46140.851917708336" backgroundQuery="1" createdVersion="8" refreshedVersion="8" minRefreshableVersion="3" recordCount="0" supportSubquery="1" supportAdvancedDrill="1" xr:uid="{E1D50C1C-D9C9-4334-A3D5-9E1AE7336E3F}">
  <cacheSource type="external" connectionId="1"/>
  <cacheFields count="5">
    <cacheField name="[Table1].[Month].[Month]" caption="Month" numFmtId="0" level="1">
      <sharedItems count="12">
        <s v="Apr-23"/>
        <s v="Aug-23"/>
        <s v="Dec-23"/>
        <s v="Feb-24"/>
        <s v="Jan-24"/>
        <s v="Jul-23"/>
        <s v="Jun-23"/>
        <s v="Mar-24"/>
        <s v="May-23"/>
        <s v="Nov-23"/>
        <s v="Oct-23"/>
        <s v="Sep-23"/>
      </sharedItems>
    </cacheField>
    <cacheField name="[Table2].[Product_Name].[Product_Name]" caption="Product_Name" numFmtId="0" hierarchy="13" level="1">
      <sharedItems count="5">
        <s v="Correction Tape"/>
        <s v="Logitech Keyboard"/>
        <s v="Webcam"/>
        <s v="Whiteboard"/>
        <s v="Wi-Fi Router"/>
      </sharedItems>
    </cacheField>
    <cacheField name="[Measures].[Sum of Total_Revenue_SAR]" caption="Sum of Total_Revenue_SAR" numFmtId="0" hierarchy="26" level="32767"/>
    <cacheField name="[Table2].[Product_Category].[Product_Category]" caption="Product_Category" numFmtId="0" hierarchy="12" level="1">
      <sharedItems count="5">
        <s v="Electronics"/>
        <s v="Furniture"/>
        <s v="IT Equipment"/>
        <s v="Office Supplies"/>
        <s v="Stationery"/>
      </sharedItems>
    </cacheField>
    <cacheField name="[Table2].[Region].[Region]" caption="Region" numFmtId="0" hierarchy="11" level="1">
      <sharedItems containsSemiMixedTypes="0" containsNonDate="0" containsString="0"/>
    </cacheField>
  </cacheFields>
  <cacheHierarchies count="32">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Quarter]" caption="Quarter" attribute="1" defaultMemberUniqueName="[Table1].[Quarter].[All]" allUniqueName="[Table1].[Quarter].[All]" dimensionUniqueName="[Table1]" displayFolder="" count="0" memberValueDatatype="130" unbalanced="0"/>
    <cacheHierarchy uniqueName="[Table1].[Target_SAR]" caption="Target_SAR" attribute="1" defaultMemberUniqueName="[Table1].[Target_SAR].[All]" allUniqueName="[Table1].[Target_SAR].[All]" dimensionUniqueName="[Table1]" displayFolder="" count="0" memberValueDatatype="20" unbalanced="0"/>
    <cacheHierarchy uniqueName="[Table1].[Actual_SAR]" caption="Actual_SAR" attribute="1" defaultMemberUniqueName="[Table1].[Actual_SAR].[All]" allUniqueName="[Table1].[Actual_SAR].[All]" dimensionUniqueName="[Table1]" displayFolder="" count="0" memberValueDatatype="20" unbalanced="0"/>
    <cacheHierarchy uniqueName="[Table1].[Variance_SAR]" caption="Variance_SAR" attribute="1" defaultMemberUniqueName="[Table1].[Variance_SAR].[All]" allUniqueName="[Table1].[Variance_SAR].[All]" dimensionUniqueName="[Table1]" displayFolder="" count="0" memberValueDatatype="20" unbalanced="0"/>
    <cacheHierarchy uniqueName="[Table1].[MoM Growth%]" caption="MoM Growth%" attribute="1" defaultMemberUniqueName="[Table1].[MoM Growth%].[All]" allUniqueName="[Table1].[MoM Growth%].[All]" dimensionUniqueName="[Table1]" displayFolder="" count="0" memberValueDatatype="5" unbalanced="0"/>
    <cacheHierarchy uniqueName="[Table2].[Order_ID]" caption="Order_ID" attribute="1" defaultMemberUniqueName="[Table2].[Order_ID].[All]" allUniqueName="[Table2].[Order_ID].[All]" dimensionUniqueName="[Table2]"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Month]" caption="Month" attribute="1" defaultMemberUniqueName="[Table2].[Month].[All]" allUniqueName="[Table2].[Month].[All]" dimensionUniqueName="[Table2]" displayFolder="" count="0" memberValueDatatype="130" unbalanced="0"/>
    <cacheHierarchy uniqueName="[Table2].[Quarter]" caption="Quarter" attribute="1" defaultMemberUniqueName="[Table2].[Quarter].[All]" allUniqueName="[Table2].[Quarter].[All]" dimensionUniqueName="[Table2]" displayFolder="" count="2" memberValueDatatype="130" unbalanced="0"/>
    <cacheHierarchy uniqueName="[Table2].[Salesperson]" caption="Salesperson" attribute="1" defaultMemberUniqueName="[Table2].[Salesperson].[All]" allUniqueName="[Table2].[Salesperson].[All]" dimensionUniqueName="[Table2]" displayFolder="" count="0" memberValueDatatype="130" unbalanced="0"/>
    <cacheHierarchy uniqueName="[Table2].[Region]" caption="Region" attribute="1" defaultMemberUniqueName="[Table2].[Region].[All]" allUniqueName="[Table2].[Region].[All]" dimensionUniqueName="[Table2]" displayFolder="" count="2" memberValueDatatype="130" unbalanced="0">
      <fieldsUsage count="2">
        <fieldUsage x="-1"/>
        <fieldUsage x="4"/>
      </fieldsUsage>
    </cacheHierarchy>
    <cacheHierarchy uniqueName="[Table2].[Product_Category]" caption="Product_Category" attribute="1" defaultMemberUniqueName="[Table2].[Product_Category].[All]" allUniqueName="[Table2].[Product_Category].[All]" dimensionUniqueName="[Table2]" displayFolder="" count="2" memberValueDatatype="130" unbalanced="0">
      <fieldsUsage count="2">
        <fieldUsage x="-1"/>
        <fieldUsage x="3"/>
      </fieldsUsage>
    </cacheHierarchy>
    <cacheHierarchy uniqueName="[Table2].[Product_Name]" caption="Product_Name" attribute="1" defaultMemberUniqueName="[Table2].[Product_Name].[All]" allUniqueName="[Table2].[Product_Name].[All]" dimensionUniqueName="[Table2]" displayFolder="" count="2" memberValueDatatype="130" unbalanced="0">
      <fieldsUsage count="2">
        <fieldUsage x="-1"/>
        <fieldUsage x="1"/>
      </fieldsUsage>
    </cacheHierarchy>
    <cacheHierarchy uniqueName="[Table2].[Units_Sold]" caption="Units_Sold" attribute="1" defaultMemberUniqueName="[Table2].[Units_Sold].[All]" allUniqueName="[Table2].[Units_Sold].[All]" dimensionUniqueName="[Table2]" displayFolder="" count="0" memberValueDatatype="20" unbalanced="0"/>
    <cacheHierarchy uniqueName="[Table2].[Unit_Price_SAR]" caption="Unit_Price_SAR" attribute="1" defaultMemberUniqueName="[Table2].[Unit_Price_SAR].[All]" allUniqueName="[Table2].[Unit_Price_SAR].[All]" dimensionUniqueName="[Table2]" displayFolder="" count="0" memberValueDatatype="20" unbalanced="0"/>
    <cacheHierarchy uniqueName="[Table2].[Total_Revenue_SAR]" caption="Total_Revenue_SAR" attribute="1" defaultMemberUniqueName="[Table2].[Total_Revenue_SAR].[All]" allUniqueName="[Table2].[Total_Revenue_SAR].[All]" dimensionUniqueName="[Table2]" displayFolder="" count="0" memberValueDatatype="20" unbalanced="0"/>
    <cacheHierarchy uniqueName="[Table2].[Cost_SAR]" caption="Cost_SAR" attribute="1" defaultMemberUniqueName="[Table2].[Cost_SAR].[All]" allUniqueName="[Table2].[Cost_SAR].[All]" dimensionUniqueName="[Table2]" displayFolder="" count="0" memberValueDatatype="5" unbalanced="0"/>
    <cacheHierarchy uniqueName="[Table2].[Profit_SAR]" caption="Profit_SAR" attribute="1" defaultMemberUniqueName="[Table2].[Profit_SAR].[All]" allUniqueName="[Table2].[Profit_SAR].[All]" dimensionUniqueName="[Table2]" displayFolder="" count="0" memberValueDatatype="5" unbalanced="0"/>
    <cacheHierarchy uniqueName="[Table2].[Profit_Margin%]" caption="Profit_Margin%" attribute="1" defaultMemberUniqueName="[Table2].[Profit_Margin%].[All]" allUniqueName="[Table2].[Profit_Margin%].[All]" dimensionUniqueName="[Table2]" displayFolder="" count="0" memberValueDatatype="5" unbalanced="0"/>
    <cacheHierarchy uniqueName="[Table2].[Performance_Flag]" caption="Performance_Flag" attribute="1" defaultMemberUniqueName="[Table2].[Performance_Flag].[All]" allUniqueName="[Table2].[Performance_Flag].[All]" dimensionUniqueName="[Table2]" displayFolder="" count="0" memberValueDatatype="130" unbalanced="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arget_SAR]" caption="Sum of Target_SAR" measure="1" displayFolder="" measureGroup="Table1" count="0" hidden="1">
      <extLst>
        <ext xmlns:x15="http://schemas.microsoft.com/office/spreadsheetml/2010/11/main" uri="{B97F6D7D-B522-45F9-BDA1-12C45D357490}">
          <x15:cacheHierarchy aggregatedColumn="2"/>
        </ext>
      </extLst>
    </cacheHierarchy>
    <cacheHierarchy uniqueName="[Measures].[Sum of Actual_SAR]" caption="Sum of Actual_SAR" measure="1" displayFolder="" measureGroup="Table1" count="0" hidden="1">
      <extLst>
        <ext xmlns:x15="http://schemas.microsoft.com/office/spreadsheetml/2010/11/main" uri="{B97F6D7D-B522-45F9-BDA1-12C45D357490}">
          <x15:cacheHierarchy aggregatedColumn="3"/>
        </ext>
      </extLst>
    </cacheHierarchy>
    <cacheHierarchy uniqueName="[Measures].[Sum of Total_Revenue_SAR]" caption="Sum of Total_Revenue_SAR" measure="1" displayFolder="" measureGroup="Table2"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Units_Sold]" caption="Sum of Units_Sold" measure="1" displayFolder="" measureGroup="Table2" count="0" hidden="1">
      <extLst>
        <ext xmlns:x15="http://schemas.microsoft.com/office/spreadsheetml/2010/11/main" uri="{B97F6D7D-B522-45F9-BDA1-12C45D357490}">
          <x15:cacheHierarchy aggregatedColumn="14"/>
        </ext>
      </extLst>
    </cacheHierarchy>
    <cacheHierarchy uniqueName="[Measures].[Sum of Cost_SAR]" caption="Sum of Cost_SAR" measure="1" displayFolder="" measureGroup="Table2" count="0" hidden="1">
      <extLst>
        <ext xmlns:x15="http://schemas.microsoft.com/office/spreadsheetml/2010/11/main" uri="{B97F6D7D-B522-45F9-BDA1-12C45D357490}">
          <x15:cacheHierarchy aggregatedColumn="17"/>
        </ext>
      </extLst>
    </cacheHierarchy>
    <cacheHierarchy uniqueName="[Measures].[Sum of Profit_Margin%]" caption="Sum of Profit_Margin%" measure="1" displayFolder="" measureGroup="Table2" count="0" hidden="1">
      <extLst>
        <ext xmlns:x15="http://schemas.microsoft.com/office/spreadsheetml/2010/11/main" uri="{B97F6D7D-B522-45F9-BDA1-12C45D357490}">
          <x15:cacheHierarchy aggregatedColumn="19"/>
        </ext>
      </extLst>
    </cacheHierarchy>
    <cacheHierarchy uniqueName="[Measures].[Average of Profit_Margin%]" caption="Average of Profit_Margin%" measure="1" displayFolder="" measureGroup="Table2" count="0" hidden="1">
      <extLst>
        <ext xmlns:x15="http://schemas.microsoft.com/office/spreadsheetml/2010/11/main" uri="{B97F6D7D-B522-45F9-BDA1-12C45D357490}">
          <x15:cacheHierarchy aggregatedColumn="19"/>
        </ext>
      </extLst>
    </cacheHierarchy>
    <cacheHierarchy uniqueName="[Measures].[Sum of Profit_SAR]" caption="Sum of Profit_SAR" measure="1" displayFolder="" measureGroup="Table2" count="0" hidden="1">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N" refreshedDate="46140.851918055552" backgroundQuery="1" createdVersion="8" refreshedVersion="8" minRefreshableVersion="3" recordCount="0" supportSubquery="1" supportAdvancedDrill="1" xr:uid="{5DED6A0B-C83E-465D-9B20-B80D66C8D7C6}">
  <cacheSource type="external" connectionId="1"/>
  <cacheFields count="5">
    <cacheField name="[Table1].[Month].[Month]" caption="Month" numFmtId="0" level="1">
      <sharedItems count="12">
        <s v="Apr-23"/>
        <s v="Aug-23"/>
        <s v="Dec-23"/>
        <s v="Feb-24"/>
        <s v="Jan-24"/>
        <s v="Jul-23"/>
        <s v="Jun-23"/>
        <s v="Mar-24"/>
        <s v="May-23"/>
        <s v="Nov-23"/>
        <s v="Oct-23"/>
        <s v="Sep-23"/>
      </sharedItems>
    </cacheField>
    <cacheField name="[Table2].[Product_Name].[Product_Name]" caption="Product_Name" numFmtId="0" hierarchy="13" level="1">
      <sharedItems count="5">
        <s v="Correction Tape"/>
        <s v="Logitech Keyboard"/>
        <s v="Webcam"/>
        <s v="Whiteboard"/>
        <s v="Wi-Fi Router"/>
      </sharedItems>
    </cacheField>
    <cacheField name="[Measures].[Sum of Profit_SAR]" caption="Sum of Profit_SAR" numFmtId="0" hierarchy="31" level="32767"/>
    <cacheField name="[Table2].[Quarter].[Quarter]" caption="Quarter" numFmtId="0" hierarchy="9" level="1">
      <sharedItems count="4">
        <s v="Q1"/>
        <s v="Q2"/>
        <s v="Q3"/>
        <s v="Q4"/>
      </sharedItems>
    </cacheField>
    <cacheField name="[Table2].[Region].[Region]" caption="Region" numFmtId="0" hierarchy="11" level="1">
      <sharedItems containsSemiMixedTypes="0" containsNonDate="0" containsString="0"/>
    </cacheField>
  </cacheFields>
  <cacheHierarchies count="32">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Quarter]" caption="Quarter" attribute="1" defaultMemberUniqueName="[Table1].[Quarter].[All]" allUniqueName="[Table1].[Quarter].[All]" dimensionUniqueName="[Table1]" displayFolder="" count="0" memberValueDatatype="130" unbalanced="0"/>
    <cacheHierarchy uniqueName="[Table1].[Target_SAR]" caption="Target_SAR" attribute="1" defaultMemberUniqueName="[Table1].[Target_SAR].[All]" allUniqueName="[Table1].[Target_SAR].[All]" dimensionUniqueName="[Table1]" displayFolder="" count="0" memberValueDatatype="20" unbalanced="0"/>
    <cacheHierarchy uniqueName="[Table1].[Actual_SAR]" caption="Actual_SAR" attribute="1" defaultMemberUniqueName="[Table1].[Actual_SAR].[All]" allUniqueName="[Table1].[Actual_SAR].[All]" dimensionUniqueName="[Table1]" displayFolder="" count="0" memberValueDatatype="20" unbalanced="0"/>
    <cacheHierarchy uniqueName="[Table1].[Variance_SAR]" caption="Variance_SAR" attribute="1" defaultMemberUniqueName="[Table1].[Variance_SAR].[All]" allUniqueName="[Table1].[Variance_SAR].[All]" dimensionUniqueName="[Table1]" displayFolder="" count="0" memberValueDatatype="20" unbalanced="0"/>
    <cacheHierarchy uniqueName="[Table1].[MoM Growth%]" caption="MoM Growth%" attribute="1" defaultMemberUniqueName="[Table1].[MoM Growth%].[All]" allUniqueName="[Table1].[MoM Growth%].[All]" dimensionUniqueName="[Table1]" displayFolder="" count="0" memberValueDatatype="5" unbalanced="0"/>
    <cacheHierarchy uniqueName="[Table2].[Order_ID]" caption="Order_ID" attribute="1" defaultMemberUniqueName="[Table2].[Order_ID].[All]" allUniqueName="[Table2].[Order_ID].[All]" dimensionUniqueName="[Table2]"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Month]" caption="Month" attribute="1" defaultMemberUniqueName="[Table2].[Month].[All]" allUniqueName="[Table2].[Month].[All]" dimensionUniqueName="[Table2]" displayFolder="" count="0" memberValueDatatype="130" unbalanced="0"/>
    <cacheHierarchy uniqueName="[Table2].[Quarter]" caption="Quarter" attribute="1" defaultMemberUniqueName="[Table2].[Quarter].[All]" allUniqueName="[Table2].[Quarter].[All]" dimensionUniqueName="[Table2]" displayFolder="" count="2" memberValueDatatype="130" unbalanced="0">
      <fieldsUsage count="2">
        <fieldUsage x="-1"/>
        <fieldUsage x="3"/>
      </fieldsUsage>
    </cacheHierarchy>
    <cacheHierarchy uniqueName="[Table2].[Salesperson]" caption="Salesperson" attribute="1" defaultMemberUniqueName="[Table2].[Salesperson].[All]" allUniqueName="[Table2].[Salesperson].[All]" dimensionUniqueName="[Table2]" displayFolder="" count="0" memberValueDatatype="130" unbalanced="0"/>
    <cacheHierarchy uniqueName="[Table2].[Region]" caption="Region" attribute="1" defaultMemberUniqueName="[Table2].[Region].[All]" allUniqueName="[Table2].[Region].[All]" dimensionUniqueName="[Table2]" displayFolder="" count="2" memberValueDatatype="130" unbalanced="0">
      <fieldsUsage count="2">
        <fieldUsage x="-1"/>
        <fieldUsage x="4"/>
      </fieldsUsage>
    </cacheHierarchy>
    <cacheHierarchy uniqueName="[Table2].[Product_Category]" caption="Product_Category" attribute="1" defaultMemberUniqueName="[Table2].[Product_Category].[All]" allUniqueName="[Table2].[Product_Category].[All]" dimensionUniqueName="[Table2]" displayFolder="" count="0" memberValueDatatype="130" unbalanced="0"/>
    <cacheHierarchy uniqueName="[Table2].[Product_Name]" caption="Product_Name" attribute="1" defaultMemberUniqueName="[Table2].[Product_Name].[All]" allUniqueName="[Table2].[Product_Name].[All]" dimensionUniqueName="[Table2]" displayFolder="" count="2" memberValueDatatype="130" unbalanced="0">
      <fieldsUsage count="2">
        <fieldUsage x="-1"/>
        <fieldUsage x="1"/>
      </fieldsUsage>
    </cacheHierarchy>
    <cacheHierarchy uniqueName="[Table2].[Units_Sold]" caption="Units_Sold" attribute="1" defaultMemberUniqueName="[Table2].[Units_Sold].[All]" allUniqueName="[Table2].[Units_Sold].[All]" dimensionUniqueName="[Table2]" displayFolder="" count="0" memberValueDatatype="20" unbalanced="0"/>
    <cacheHierarchy uniqueName="[Table2].[Unit_Price_SAR]" caption="Unit_Price_SAR" attribute="1" defaultMemberUniqueName="[Table2].[Unit_Price_SAR].[All]" allUniqueName="[Table2].[Unit_Price_SAR].[All]" dimensionUniqueName="[Table2]" displayFolder="" count="0" memberValueDatatype="20" unbalanced="0"/>
    <cacheHierarchy uniqueName="[Table2].[Total_Revenue_SAR]" caption="Total_Revenue_SAR" attribute="1" defaultMemberUniqueName="[Table2].[Total_Revenue_SAR].[All]" allUniqueName="[Table2].[Total_Revenue_SAR].[All]" dimensionUniqueName="[Table2]" displayFolder="" count="0" memberValueDatatype="20" unbalanced="0"/>
    <cacheHierarchy uniqueName="[Table2].[Cost_SAR]" caption="Cost_SAR" attribute="1" defaultMemberUniqueName="[Table2].[Cost_SAR].[All]" allUniqueName="[Table2].[Cost_SAR].[All]" dimensionUniqueName="[Table2]" displayFolder="" count="0" memberValueDatatype="5" unbalanced="0"/>
    <cacheHierarchy uniqueName="[Table2].[Profit_SAR]" caption="Profit_SAR" attribute="1" defaultMemberUniqueName="[Table2].[Profit_SAR].[All]" allUniqueName="[Table2].[Profit_SAR].[All]" dimensionUniqueName="[Table2]" displayFolder="" count="0" memberValueDatatype="5" unbalanced="0"/>
    <cacheHierarchy uniqueName="[Table2].[Profit_Margin%]" caption="Profit_Margin%" attribute="1" defaultMemberUniqueName="[Table2].[Profit_Margin%].[All]" allUniqueName="[Table2].[Profit_Margin%].[All]" dimensionUniqueName="[Table2]" displayFolder="" count="0" memberValueDatatype="5" unbalanced="0"/>
    <cacheHierarchy uniqueName="[Table2].[Performance_Flag]" caption="Performance_Flag" attribute="1" defaultMemberUniqueName="[Table2].[Performance_Flag].[All]" allUniqueName="[Table2].[Performance_Flag].[All]" dimensionUniqueName="[Table2]" displayFolder="" count="0" memberValueDatatype="130" unbalanced="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arget_SAR]" caption="Sum of Target_SAR" measure="1" displayFolder="" measureGroup="Table1" count="0" hidden="1">
      <extLst>
        <ext xmlns:x15="http://schemas.microsoft.com/office/spreadsheetml/2010/11/main" uri="{B97F6D7D-B522-45F9-BDA1-12C45D357490}">
          <x15:cacheHierarchy aggregatedColumn="2"/>
        </ext>
      </extLst>
    </cacheHierarchy>
    <cacheHierarchy uniqueName="[Measures].[Sum of Actual_SAR]" caption="Sum of Actual_SAR" measure="1" displayFolder="" measureGroup="Table1" count="0" hidden="1">
      <extLst>
        <ext xmlns:x15="http://schemas.microsoft.com/office/spreadsheetml/2010/11/main" uri="{B97F6D7D-B522-45F9-BDA1-12C45D357490}">
          <x15:cacheHierarchy aggregatedColumn="3"/>
        </ext>
      </extLst>
    </cacheHierarchy>
    <cacheHierarchy uniqueName="[Measures].[Sum of Total_Revenue_SAR]" caption="Sum of Total_Revenue_SAR" measure="1" displayFolder="" measureGroup="Table2" count="0" hidden="1">
      <extLst>
        <ext xmlns:x15="http://schemas.microsoft.com/office/spreadsheetml/2010/11/main" uri="{B97F6D7D-B522-45F9-BDA1-12C45D357490}">
          <x15:cacheHierarchy aggregatedColumn="16"/>
        </ext>
      </extLst>
    </cacheHierarchy>
    <cacheHierarchy uniqueName="[Measures].[Sum of Units_Sold]" caption="Sum of Units_Sold" measure="1" displayFolder="" measureGroup="Table2" count="0" hidden="1">
      <extLst>
        <ext xmlns:x15="http://schemas.microsoft.com/office/spreadsheetml/2010/11/main" uri="{B97F6D7D-B522-45F9-BDA1-12C45D357490}">
          <x15:cacheHierarchy aggregatedColumn="14"/>
        </ext>
      </extLst>
    </cacheHierarchy>
    <cacheHierarchy uniqueName="[Measures].[Sum of Cost_SAR]" caption="Sum of Cost_SAR" measure="1" displayFolder="" measureGroup="Table2" count="0" hidden="1">
      <extLst>
        <ext xmlns:x15="http://schemas.microsoft.com/office/spreadsheetml/2010/11/main" uri="{B97F6D7D-B522-45F9-BDA1-12C45D357490}">
          <x15:cacheHierarchy aggregatedColumn="17"/>
        </ext>
      </extLst>
    </cacheHierarchy>
    <cacheHierarchy uniqueName="[Measures].[Sum of Profit_Margin%]" caption="Sum of Profit_Margin%" measure="1" displayFolder="" measureGroup="Table2" count="0" hidden="1">
      <extLst>
        <ext xmlns:x15="http://schemas.microsoft.com/office/spreadsheetml/2010/11/main" uri="{B97F6D7D-B522-45F9-BDA1-12C45D357490}">
          <x15:cacheHierarchy aggregatedColumn="19"/>
        </ext>
      </extLst>
    </cacheHierarchy>
    <cacheHierarchy uniqueName="[Measures].[Average of Profit_Margin%]" caption="Average of Profit_Margin%" measure="1" displayFolder="" measureGroup="Table2" count="0" hidden="1">
      <extLst>
        <ext xmlns:x15="http://schemas.microsoft.com/office/spreadsheetml/2010/11/main" uri="{B97F6D7D-B522-45F9-BDA1-12C45D357490}">
          <x15:cacheHierarchy aggregatedColumn="19"/>
        </ext>
      </extLst>
    </cacheHierarchy>
    <cacheHierarchy uniqueName="[Measures].[Sum of Profit_SAR]" caption="Sum of Profit_SAR" measure="1" displayFolder="" measureGroup="Table2" count="0" oneField="1" hidden="1">
      <fieldsUsage count="1">
        <fieldUsage x="2"/>
      </fieldsUsage>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N" refreshedDate="46140.851918518521" backgroundQuery="1" createdVersion="8" refreshedVersion="8" minRefreshableVersion="3" recordCount="0" supportSubquery="1" supportAdvancedDrill="1" xr:uid="{19350290-E7A4-4282-B232-A22EA7D4E4A9}">
  <cacheSource type="external" connectionId="1"/>
  <cacheFields count="5">
    <cacheField name="[Table1].[Month].[Month]" caption="Month" numFmtId="0" level="1">
      <sharedItems count="12">
        <s v="Apr-23"/>
        <s v="Aug-23"/>
        <s v="Dec-23"/>
        <s v="Feb-24"/>
        <s v="Jan-24"/>
        <s v="Jul-23"/>
        <s v="Jun-23"/>
        <s v="Mar-24"/>
        <s v="May-23"/>
        <s v="Nov-23"/>
        <s v="Oct-23"/>
        <s v="Sep-23"/>
      </sharedItems>
    </cacheField>
    <cacheField name="[Table2].[Product_Name].[Product_Name]" caption="Product_Name" numFmtId="0" hierarchy="13" level="1">
      <sharedItems count="5">
        <s v="Correction Tape"/>
        <s v="Logitech Keyboard"/>
        <s v="Webcam"/>
        <s v="Whiteboard"/>
        <s v="Wi-Fi Router"/>
      </sharedItems>
    </cacheField>
    <cacheField name="[Table2].[Salesperson].[Salesperson]" caption="Salesperson" numFmtId="0" hierarchy="10" level="1">
      <sharedItems count="5">
        <s v="Ahmed Al-Ghamdi"/>
        <s v="Fatima Hassan"/>
        <s v="Nora Bakr"/>
        <s v="Omar Siddiqui"/>
        <s v="Riyan K"/>
      </sharedItems>
    </cacheField>
    <cacheField name="[Measures].[Sum of Total_Revenue_SAR]" caption="Sum of Total_Revenue_SAR" numFmtId="0" hierarchy="26" level="32767"/>
    <cacheField name="[Table2].[Region].[Region]" caption="Region" numFmtId="0" hierarchy="11" level="1">
      <sharedItems containsSemiMixedTypes="0" containsNonDate="0" containsString="0"/>
    </cacheField>
  </cacheFields>
  <cacheHierarchies count="32">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Quarter]" caption="Quarter" attribute="1" defaultMemberUniqueName="[Table1].[Quarter].[All]" allUniqueName="[Table1].[Quarter].[All]" dimensionUniqueName="[Table1]" displayFolder="" count="0" memberValueDatatype="130" unbalanced="0"/>
    <cacheHierarchy uniqueName="[Table1].[Target_SAR]" caption="Target_SAR" attribute="1" defaultMemberUniqueName="[Table1].[Target_SAR].[All]" allUniqueName="[Table1].[Target_SAR].[All]" dimensionUniqueName="[Table1]" displayFolder="" count="0" memberValueDatatype="20" unbalanced="0"/>
    <cacheHierarchy uniqueName="[Table1].[Actual_SAR]" caption="Actual_SAR" attribute="1" defaultMemberUniqueName="[Table1].[Actual_SAR].[All]" allUniqueName="[Table1].[Actual_SAR].[All]" dimensionUniqueName="[Table1]" displayFolder="" count="0" memberValueDatatype="20" unbalanced="0"/>
    <cacheHierarchy uniqueName="[Table1].[Variance_SAR]" caption="Variance_SAR" attribute="1" defaultMemberUniqueName="[Table1].[Variance_SAR].[All]" allUniqueName="[Table1].[Variance_SAR].[All]" dimensionUniqueName="[Table1]" displayFolder="" count="0" memberValueDatatype="20" unbalanced="0"/>
    <cacheHierarchy uniqueName="[Table1].[MoM Growth%]" caption="MoM Growth%" attribute="1" defaultMemberUniqueName="[Table1].[MoM Growth%].[All]" allUniqueName="[Table1].[MoM Growth%].[All]" dimensionUniqueName="[Table1]" displayFolder="" count="0" memberValueDatatype="5" unbalanced="0"/>
    <cacheHierarchy uniqueName="[Table2].[Order_ID]" caption="Order_ID" attribute="1" defaultMemberUniqueName="[Table2].[Order_ID].[All]" allUniqueName="[Table2].[Order_ID].[All]" dimensionUniqueName="[Table2]"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Month]" caption="Month" attribute="1" defaultMemberUniqueName="[Table2].[Month].[All]" allUniqueName="[Table2].[Month].[All]" dimensionUniqueName="[Table2]" displayFolder="" count="0" memberValueDatatype="130" unbalanced="0"/>
    <cacheHierarchy uniqueName="[Table2].[Quarter]" caption="Quarter" attribute="1" defaultMemberUniqueName="[Table2].[Quarter].[All]" allUniqueName="[Table2].[Quarter].[All]" dimensionUniqueName="[Table2]" displayFolder="" count="2" memberValueDatatype="130" unbalanced="0"/>
    <cacheHierarchy uniqueName="[Table2].[Salesperson]" caption="Salesperson" attribute="1" defaultMemberUniqueName="[Table2].[Salesperson].[All]" allUniqueName="[Table2].[Salesperson].[All]" dimensionUniqueName="[Table2]" displayFolder="" count="2" memberValueDatatype="130" unbalanced="0">
      <fieldsUsage count="2">
        <fieldUsage x="-1"/>
        <fieldUsage x="2"/>
      </fieldsUsage>
    </cacheHierarchy>
    <cacheHierarchy uniqueName="[Table2].[Region]" caption="Region" attribute="1" defaultMemberUniqueName="[Table2].[Region].[All]" allUniqueName="[Table2].[Region].[All]" dimensionUniqueName="[Table2]" displayFolder="" count="2" memberValueDatatype="130" unbalanced="0">
      <fieldsUsage count="2">
        <fieldUsage x="-1"/>
        <fieldUsage x="4"/>
      </fieldsUsage>
    </cacheHierarchy>
    <cacheHierarchy uniqueName="[Table2].[Product_Category]" caption="Product_Category" attribute="1" defaultMemberUniqueName="[Table2].[Product_Category].[All]" allUniqueName="[Table2].[Product_Category].[All]" dimensionUniqueName="[Table2]" displayFolder="" count="0" memberValueDatatype="130" unbalanced="0"/>
    <cacheHierarchy uniqueName="[Table2].[Product_Name]" caption="Product_Name" attribute="1" defaultMemberUniqueName="[Table2].[Product_Name].[All]" allUniqueName="[Table2].[Product_Name].[All]" dimensionUniqueName="[Table2]" displayFolder="" count="2" memberValueDatatype="130" unbalanced="0">
      <fieldsUsage count="2">
        <fieldUsage x="-1"/>
        <fieldUsage x="1"/>
      </fieldsUsage>
    </cacheHierarchy>
    <cacheHierarchy uniqueName="[Table2].[Units_Sold]" caption="Units_Sold" attribute="1" defaultMemberUniqueName="[Table2].[Units_Sold].[All]" allUniqueName="[Table2].[Units_Sold].[All]" dimensionUniqueName="[Table2]" displayFolder="" count="0" memberValueDatatype="20" unbalanced="0"/>
    <cacheHierarchy uniqueName="[Table2].[Unit_Price_SAR]" caption="Unit_Price_SAR" attribute="1" defaultMemberUniqueName="[Table2].[Unit_Price_SAR].[All]" allUniqueName="[Table2].[Unit_Price_SAR].[All]" dimensionUniqueName="[Table2]" displayFolder="" count="0" memberValueDatatype="20" unbalanced="0"/>
    <cacheHierarchy uniqueName="[Table2].[Total_Revenue_SAR]" caption="Total_Revenue_SAR" attribute="1" defaultMemberUniqueName="[Table2].[Total_Revenue_SAR].[All]" allUniqueName="[Table2].[Total_Revenue_SAR].[All]" dimensionUniqueName="[Table2]" displayFolder="" count="0" memberValueDatatype="20" unbalanced="0"/>
    <cacheHierarchy uniqueName="[Table2].[Cost_SAR]" caption="Cost_SAR" attribute="1" defaultMemberUniqueName="[Table2].[Cost_SAR].[All]" allUniqueName="[Table2].[Cost_SAR].[All]" dimensionUniqueName="[Table2]" displayFolder="" count="0" memberValueDatatype="5" unbalanced="0"/>
    <cacheHierarchy uniqueName="[Table2].[Profit_SAR]" caption="Profit_SAR" attribute="1" defaultMemberUniqueName="[Table2].[Profit_SAR].[All]" allUniqueName="[Table2].[Profit_SAR].[All]" dimensionUniqueName="[Table2]" displayFolder="" count="0" memberValueDatatype="5" unbalanced="0"/>
    <cacheHierarchy uniqueName="[Table2].[Profit_Margin%]" caption="Profit_Margin%" attribute="1" defaultMemberUniqueName="[Table2].[Profit_Margin%].[All]" allUniqueName="[Table2].[Profit_Margin%].[All]" dimensionUniqueName="[Table2]" displayFolder="" count="0" memberValueDatatype="5" unbalanced="0"/>
    <cacheHierarchy uniqueName="[Table2].[Performance_Flag]" caption="Performance_Flag" attribute="1" defaultMemberUniqueName="[Table2].[Performance_Flag].[All]" allUniqueName="[Table2].[Performance_Flag].[All]" dimensionUniqueName="[Table2]" displayFolder="" count="0" memberValueDatatype="130" unbalanced="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arget_SAR]" caption="Sum of Target_SAR" measure="1" displayFolder="" measureGroup="Table1" count="0" hidden="1">
      <extLst>
        <ext xmlns:x15="http://schemas.microsoft.com/office/spreadsheetml/2010/11/main" uri="{B97F6D7D-B522-45F9-BDA1-12C45D357490}">
          <x15:cacheHierarchy aggregatedColumn="2"/>
        </ext>
      </extLst>
    </cacheHierarchy>
    <cacheHierarchy uniqueName="[Measures].[Sum of Actual_SAR]" caption="Sum of Actual_SAR" measure="1" displayFolder="" measureGroup="Table1" count="0" hidden="1">
      <extLst>
        <ext xmlns:x15="http://schemas.microsoft.com/office/spreadsheetml/2010/11/main" uri="{B97F6D7D-B522-45F9-BDA1-12C45D357490}">
          <x15:cacheHierarchy aggregatedColumn="3"/>
        </ext>
      </extLst>
    </cacheHierarchy>
    <cacheHierarchy uniqueName="[Measures].[Sum of Total_Revenue_SAR]" caption="Sum of Total_Revenue_SAR" measure="1" displayFolder="" measureGroup="Table2" count="0" oneField="1" hidden="1">
      <fieldsUsage count="1">
        <fieldUsage x="3"/>
      </fieldsUsage>
      <extLst>
        <ext xmlns:x15="http://schemas.microsoft.com/office/spreadsheetml/2010/11/main" uri="{B97F6D7D-B522-45F9-BDA1-12C45D357490}">
          <x15:cacheHierarchy aggregatedColumn="16"/>
        </ext>
      </extLst>
    </cacheHierarchy>
    <cacheHierarchy uniqueName="[Measures].[Sum of Units_Sold]" caption="Sum of Units_Sold" measure="1" displayFolder="" measureGroup="Table2" count="0" hidden="1">
      <extLst>
        <ext xmlns:x15="http://schemas.microsoft.com/office/spreadsheetml/2010/11/main" uri="{B97F6D7D-B522-45F9-BDA1-12C45D357490}">
          <x15:cacheHierarchy aggregatedColumn="14"/>
        </ext>
      </extLst>
    </cacheHierarchy>
    <cacheHierarchy uniqueName="[Measures].[Sum of Cost_SAR]" caption="Sum of Cost_SAR" measure="1" displayFolder="" measureGroup="Table2" count="0" hidden="1">
      <extLst>
        <ext xmlns:x15="http://schemas.microsoft.com/office/spreadsheetml/2010/11/main" uri="{B97F6D7D-B522-45F9-BDA1-12C45D357490}">
          <x15:cacheHierarchy aggregatedColumn="17"/>
        </ext>
      </extLst>
    </cacheHierarchy>
    <cacheHierarchy uniqueName="[Measures].[Sum of Profit_Margin%]" caption="Sum of Profit_Margin%" measure="1" displayFolder="" measureGroup="Table2" count="0" hidden="1">
      <extLst>
        <ext xmlns:x15="http://schemas.microsoft.com/office/spreadsheetml/2010/11/main" uri="{B97F6D7D-B522-45F9-BDA1-12C45D357490}">
          <x15:cacheHierarchy aggregatedColumn="19"/>
        </ext>
      </extLst>
    </cacheHierarchy>
    <cacheHierarchy uniqueName="[Measures].[Average of Profit_Margin%]" caption="Average of Profit_Margin%" measure="1" displayFolder="" measureGroup="Table2" count="0" hidden="1">
      <extLst>
        <ext xmlns:x15="http://schemas.microsoft.com/office/spreadsheetml/2010/11/main" uri="{B97F6D7D-B522-45F9-BDA1-12C45D357490}">
          <x15:cacheHierarchy aggregatedColumn="19"/>
        </ext>
      </extLst>
    </cacheHierarchy>
    <cacheHierarchy uniqueName="[Measures].[Sum of Profit_SAR]" caption="Sum of Profit_SAR" measure="1" displayFolder="" measureGroup="Table2" count="0" hidden="1">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N" refreshedDate="46140.851918981483" backgroundQuery="1" createdVersion="8" refreshedVersion="8" minRefreshableVersion="3" recordCount="0" supportSubquery="1" supportAdvancedDrill="1" xr:uid="{A681CAD3-1D84-4941-9182-9D1B58370C33}">
  <cacheSource type="external" connectionId="1"/>
  <cacheFields count="4">
    <cacheField name="[Table1].[Month].[Month]" caption="Month" numFmtId="0" level="1">
      <sharedItems count="12">
        <s v="Apr-23"/>
        <s v="Aug-23"/>
        <s v="Dec-23"/>
        <s v="Feb-24"/>
        <s v="Jan-24"/>
        <s v="Jul-23"/>
        <s v="Jun-23"/>
        <s v="Mar-24"/>
        <s v="May-23"/>
        <s v="Nov-23"/>
        <s v="Oct-23"/>
        <s v="Sep-23"/>
      </sharedItems>
    </cacheField>
    <cacheField name="[Measures].[Sum of Target_SAR]" caption="Sum of Target_SAR" numFmtId="0" hierarchy="24" level="32767"/>
    <cacheField name="[Measures].[Sum of Actual_SAR]" caption="Sum of Actual_SAR" numFmtId="0" hierarchy="25" level="32767"/>
    <cacheField name="[Table2].[Region].[Region]" caption="Region" numFmtId="0" hierarchy="11" level="1">
      <sharedItems containsSemiMixedTypes="0" containsNonDate="0" containsString="0"/>
    </cacheField>
  </cacheFields>
  <cacheHierarchies count="32">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Quarter]" caption="Quarter" attribute="1" defaultMemberUniqueName="[Table1].[Quarter].[All]" allUniqueName="[Table1].[Quarter].[All]" dimensionUniqueName="[Table1]" displayFolder="" count="0" memberValueDatatype="130" unbalanced="0"/>
    <cacheHierarchy uniqueName="[Table1].[Target_SAR]" caption="Target_SAR" attribute="1" defaultMemberUniqueName="[Table1].[Target_SAR].[All]" allUniqueName="[Table1].[Target_SAR].[All]" dimensionUniqueName="[Table1]" displayFolder="" count="0" memberValueDatatype="20" unbalanced="0"/>
    <cacheHierarchy uniqueName="[Table1].[Actual_SAR]" caption="Actual_SAR" attribute="1" defaultMemberUniqueName="[Table1].[Actual_SAR].[All]" allUniqueName="[Table1].[Actual_SAR].[All]" dimensionUniqueName="[Table1]" displayFolder="" count="0" memberValueDatatype="20" unbalanced="0"/>
    <cacheHierarchy uniqueName="[Table1].[Variance_SAR]" caption="Variance_SAR" attribute="1" defaultMemberUniqueName="[Table1].[Variance_SAR].[All]" allUniqueName="[Table1].[Variance_SAR].[All]" dimensionUniqueName="[Table1]" displayFolder="" count="0" memberValueDatatype="20" unbalanced="0"/>
    <cacheHierarchy uniqueName="[Table1].[MoM Growth%]" caption="MoM Growth%" attribute="1" defaultMemberUniqueName="[Table1].[MoM Growth%].[All]" allUniqueName="[Table1].[MoM Growth%].[All]" dimensionUniqueName="[Table1]" displayFolder="" count="0" memberValueDatatype="5" unbalanced="0"/>
    <cacheHierarchy uniqueName="[Table2].[Order_ID]" caption="Order_ID" attribute="1" defaultMemberUniqueName="[Table2].[Order_ID].[All]" allUniqueName="[Table2].[Order_ID].[All]" dimensionUniqueName="[Table2]"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Month]" caption="Month" attribute="1" defaultMemberUniqueName="[Table2].[Month].[All]" allUniqueName="[Table2].[Month].[All]" dimensionUniqueName="[Table2]" displayFolder="" count="0" memberValueDatatype="130" unbalanced="0"/>
    <cacheHierarchy uniqueName="[Table2].[Quarter]" caption="Quarter" attribute="1" defaultMemberUniqueName="[Table2].[Quarter].[All]" allUniqueName="[Table2].[Quarter].[All]" dimensionUniqueName="[Table2]" displayFolder="" count="2" memberValueDatatype="130" unbalanced="0"/>
    <cacheHierarchy uniqueName="[Table2].[Salesperson]" caption="Salesperson" attribute="1" defaultMemberUniqueName="[Table2].[Salesperson].[All]" allUniqueName="[Table2].[Salesperson].[All]" dimensionUniqueName="[Table2]" displayFolder="" count="0" memberValueDatatype="130" unbalanced="0"/>
    <cacheHierarchy uniqueName="[Table2].[Region]" caption="Region" attribute="1" defaultMemberUniqueName="[Table2].[Region].[All]" allUniqueName="[Table2].[Region].[All]" dimensionUniqueName="[Table2]" displayFolder="" count="2" memberValueDatatype="130" unbalanced="0">
      <fieldsUsage count="2">
        <fieldUsage x="-1"/>
        <fieldUsage x="3"/>
      </fieldsUsage>
    </cacheHierarchy>
    <cacheHierarchy uniqueName="[Table2].[Product_Category]" caption="Product_Category" attribute="1" defaultMemberUniqueName="[Table2].[Product_Category].[All]" allUniqueName="[Table2].[Product_Category].[All]" dimensionUniqueName="[Table2]" displayFolder="" count="0"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Units_Sold]" caption="Units_Sold" attribute="1" defaultMemberUniqueName="[Table2].[Units_Sold].[All]" allUniqueName="[Table2].[Units_Sold].[All]" dimensionUniqueName="[Table2]" displayFolder="" count="0" memberValueDatatype="20" unbalanced="0"/>
    <cacheHierarchy uniqueName="[Table2].[Unit_Price_SAR]" caption="Unit_Price_SAR" attribute="1" defaultMemberUniqueName="[Table2].[Unit_Price_SAR].[All]" allUniqueName="[Table2].[Unit_Price_SAR].[All]" dimensionUniqueName="[Table2]" displayFolder="" count="0" memberValueDatatype="20" unbalanced="0"/>
    <cacheHierarchy uniqueName="[Table2].[Total_Revenue_SAR]" caption="Total_Revenue_SAR" attribute="1" defaultMemberUniqueName="[Table2].[Total_Revenue_SAR].[All]" allUniqueName="[Table2].[Total_Revenue_SAR].[All]" dimensionUniqueName="[Table2]" displayFolder="" count="0" memberValueDatatype="20" unbalanced="0"/>
    <cacheHierarchy uniqueName="[Table2].[Cost_SAR]" caption="Cost_SAR" attribute="1" defaultMemberUniqueName="[Table2].[Cost_SAR].[All]" allUniqueName="[Table2].[Cost_SAR].[All]" dimensionUniqueName="[Table2]" displayFolder="" count="0" memberValueDatatype="5" unbalanced="0"/>
    <cacheHierarchy uniqueName="[Table2].[Profit_SAR]" caption="Profit_SAR" attribute="1" defaultMemberUniqueName="[Table2].[Profit_SAR].[All]" allUniqueName="[Table2].[Profit_SAR].[All]" dimensionUniqueName="[Table2]" displayFolder="" count="0" memberValueDatatype="5" unbalanced="0"/>
    <cacheHierarchy uniqueName="[Table2].[Profit_Margin%]" caption="Profit_Margin%" attribute="1" defaultMemberUniqueName="[Table2].[Profit_Margin%].[All]" allUniqueName="[Table2].[Profit_Margin%].[All]" dimensionUniqueName="[Table2]" displayFolder="" count="0" memberValueDatatype="5" unbalanced="0"/>
    <cacheHierarchy uniqueName="[Table2].[Performance_Flag]" caption="Performance_Flag" attribute="1" defaultMemberUniqueName="[Table2].[Performance_Flag].[All]" allUniqueName="[Table2].[Performance_Flag].[All]" dimensionUniqueName="[Table2]" displayFolder="" count="0" memberValueDatatype="130" unbalanced="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arget_SAR]" caption="Sum of Target_SAR"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Actual_SAR]" caption="Sum of Actual_SAR" measure="1" displayFolder="" measureGroup="Table1"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Total_Revenue_SAR]" caption="Sum of Total_Revenue_SAR" measure="1" displayFolder="" measureGroup="Table2" count="0" hidden="1">
      <extLst>
        <ext xmlns:x15="http://schemas.microsoft.com/office/spreadsheetml/2010/11/main" uri="{B97F6D7D-B522-45F9-BDA1-12C45D357490}">
          <x15:cacheHierarchy aggregatedColumn="16"/>
        </ext>
      </extLst>
    </cacheHierarchy>
    <cacheHierarchy uniqueName="[Measures].[Sum of Units_Sold]" caption="Sum of Units_Sold" measure="1" displayFolder="" measureGroup="Table2" count="0" hidden="1">
      <extLst>
        <ext xmlns:x15="http://schemas.microsoft.com/office/spreadsheetml/2010/11/main" uri="{B97F6D7D-B522-45F9-BDA1-12C45D357490}">
          <x15:cacheHierarchy aggregatedColumn="14"/>
        </ext>
      </extLst>
    </cacheHierarchy>
    <cacheHierarchy uniqueName="[Measures].[Sum of Cost_SAR]" caption="Sum of Cost_SAR" measure="1" displayFolder="" measureGroup="Table2" count="0" hidden="1">
      <extLst>
        <ext xmlns:x15="http://schemas.microsoft.com/office/spreadsheetml/2010/11/main" uri="{B97F6D7D-B522-45F9-BDA1-12C45D357490}">
          <x15:cacheHierarchy aggregatedColumn="17"/>
        </ext>
      </extLst>
    </cacheHierarchy>
    <cacheHierarchy uniqueName="[Measures].[Sum of Profit_Margin%]" caption="Sum of Profit_Margin%" measure="1" displayFolder="" measureGroup="Table2" count="0" hidden="1">
      <extLst>
        <ext xmlns:x15="http://schemas.microsoft.com/office/spreadsheetml/2010/11/main" uri="{B97F6D7D-B522-45F9-BDA1-12C45D357490}">
          <x15:cacheHierarchy aggregatedColumn="19"/>
        </ext>
      </extLst>
    </cacheHierarchy>
    <cacheHierarchy uniqueName="[Measures].[Average of Profit_Margin%]" caption="Average of Profit_Margin%" measure="1" displayFolder="" measureGroup="Table2" count="0" hidden="1">
      <extLst>
        <ext xmlns:x15="http://schemas.microsoft.com/office/spreadsheetml/2010/11/main" uri="{B97F6D7D-B522-45F9-BDA1-12C45D357490}">
          <x15:cacheHierarchy aggregatedColumn="19"/>
        </ext>
      </extLst>
    </cacheHierarchy>
    <cacheHierarchy uniqueName="[Measures].[Sum of Profit_SAR]" caption="Sum of Profit_SAR" measure="1" displayFolder="" measureGroup="Table2" count="0" hidden="1">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N" refreshedDate="46140.847611805555" backgroundQuery="1" createdVersion="3" refreshedVersion="8" minRefreshableVersion="3" recordCount="0" supportSubquery="1" supportAdvancedDrill="1" xr:uid="{C864E140-2B2E-4450-8E62-CB0B1259B2D1}">
  <cacheSource type="external" connectionId="1">
    <extLst>
      <ext xmlns:x14="http://schemas.microsoft.com/office/spreadsheetml/2009/9/main" uri="{F057638F-6D5F-4e77-A914-E7F072B9BCA8}">
        <x14:sourceConnection name="ThisWorkbookDataModel"/>
      </ext>
    </extLst>
  </cacheSource>
  <cacheFields count="0"/>
  <cacheHierarchies count="32">
    <cacheHierarchy uniqueName="[Table1].[Month]" caption="Month" attribute="1" defaultMemberUniqueName="[Table1].[Month].[All]" allUniqueName="[Table1].[Month].[All]" dimensionUniqueName="[Table1]" displayFolder="" count="0" memberValueDatatype="130" unbalanced="0"/>
    <cacheHierarchy uniqueName="[Table1].[Quarter]" caption="Quarter" attribute="1" defaultMemberUniqueName="[Table1].[Quarter].[All]" allUniqueName="[Table1].[Quarter].[All]" dimensionUniqueName="[Table1]" displayFolder="" count="0" memberValueDatatype="130" unbalanced="0"/>
    <cacheHierarchy uniqueName="[Table1].[Target_SAR]" caption="Target_SAR" attribute="1" defaultMemberUniqueName="[Table1].[Target_SAR].[All]" allUniqueName="[Table1].[Target_SAR].[All]" dimensionUniqueName="[Table1]" displayFolder="" count="0" memberValueDatatype="20" unbalanced="0"/>
    <cacheHierarchy uniqueName="[Table1].[Actual_SAR]" caption="Actual_SAR" attribute="1" defaultMemberUniqueName="[Table1].[Actual_SAR].[All]" allUniqueName="[Table1].[Actual_SAR].[All]" dimensionUniqueName="[Table1]" displayFolder="" count="0" memberValueDatatype="20" unbalanced="0"/>
    <cacheHierarchy uniqueName="[Table1].[Variance_SAR]" caption="Variance_SAR" attribute="1" defaultMemberUniqueName="[Table1].[Variance_SAR].[All]" allUniqueName="[Table1].[Variance_SAR].[All]" dimensionUniqueName="[Table1]" displayFolder="" count="0" memberValueDatatype="20" unbalanced="0"/>
    <cacheHierarchy uniqueName="[Table1].[MoM Growth%]" caption="MoM Growth%" attribute="1" defaultMemberUniqueName="[Table1].[MoM Growth%].[All]" allUniqueName="[Table1].[MoM Growth%].[All]" dimensionUniqueName="[Table1]" displayFolder="" count="0" memberValueDatatype="5" unbalanced="0"/>
    <cacheHierarchy uniqueName="[Table2].[Order_ID]" caption="Order_ID" attribute="1" defaultMemberUniqueName="[Table2].[Order_ID].[All]" allUniqueName="[Table2].[Order_ID].[All]" dimensionUniqueName="[Table2]"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Month]" caption="Month" attribute="1" defaultMemberUniqueName="[Table2].[Month].[All]" allUniqueName="[Table2].[Month].[All]" dimensionUniqueName="[Table2]" displayFolder="" count="0" memberValueDatatype="130" unbalanced="0"/>
    <cacheHierarchy uniqueName="[Table2].[Quarter]" caption="Quarter" attribute="1" defaultMemberUniqueName="[Table2].[Quarter].[All]" allUniqueName="[Table2].[Quarter].[All]" dimensionUniqueName="[Table2]" displayFolder="" count="2" memberValueDatatype="130" unbalanced="0"/>
    <cacheHierarchy uniqueName="[Table2].[Salesperson]" caption="Salesperson" attribute="1" defaultMemberUniqueName="[Table2].[Salesperson].[All]" allUniqueName="[Table2].[Salesperson].[All]" dimensionUniqueName="[Table2]" displayFolder="" count="0" memberValueDatatype="130" unbalanced="0"/>
    <cacheHierarchy uniqueName="[Table2].[Region]" caption="Region" attribute="1" defaultMemberUniqueName="[Table2].[Region].[All]" allUniqueName="[Table2].[Region].[All]" dimensionUniqueName="[Table2]" displayFolder="" count="2" memberValueDatatype="130" unbalanced="0"/>
    <cacheHierarchy uniqueName="[Table2].[Product_Category]" caption="Product_Category" attribute="1" defaultMemberUniqueName="[Table2].[Product_Category].[All]" allUniqueName="[Table2].[Product_Category].[All]" dimensionUniqueName="[Table2]" displayFolder="" count="0"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Units_Sold]" caption="Units_Sold" attribute="1" defaultMemberUniqueName="[Table2].[Units_Sold].[All]" allUniqueName="[Table2].[Units_Sold].[All]" dimensionUniqueName="[Table2]" displayFolder="" count="0" memberValueDatatype="20" unbalanced="0"/>
    <cacheHierarchy uniqueName="[Table2].[Unit_Price_SAR]" caption="Unit_Price_SAR" attribute="1" defaultMemberUniqueName="[Table2].[Unit_Price_SAR].[All]" allUniqueName="[Table2].[Unit_Price_SAR].[All]" dimensionUniqueName="[Table2]" displayFolder="" count="0" memberValueDatatype="20" unbalanced="0"/>
    <cacheHierarchy uniqueName="[Table2].[Total_Revenue_SAR]" caption="Total_Revenue_SAR" attribute="1" defaultMemberUniqueName="[Table2].[Total_Revenue_SAR].[All]" allUniqueName="[Table2].[Total_Revenue_SAR].[All]" dimensionUniqueName="[Table2]" displayFolder="" count="0" memberValueDatatype="20" unbalanced="0"/>
    <cacheHierarchy uniqueName="[Table2].[Cost_SAR]" caption="Cost_SAR" attribute="1" defaultMemberUniqueName="[Table2].[Cost_SAR].[All]" allUniqueName="[Table2].[Cost_SAR].[All]" dimensionUniqueName="[Table2]" displayFolder="" count="0" memberValueDatatype="5" unbalanced="0"/>
    <cacheHierarchy uniqueName="[Table2].[Profit_SAR]" caption="Profit_SAR" attribute="1" defaultMemberUniqueName="[Table2].[Profit_SAR].[All]" allUniqueName="[Table2].[Profit_SAR].[All]" dimensionUniqueName="[Table2]" displayFolder="" count="0" memberValueDatatype="5" unbalanced="0"/>
    <cacheHierarchy uniqueName="[Table2].[Profit_Margin%]" caption="Profit_Margin%" attribute="1" defaultMemberUniqueName="[Table2].[Profit_Margin%].[All]" allUniqueName="[Table2].[Profit_Margin%].[All]" dimensionUniqueName="[Table2]" displayFolder="" count="0" memberValueDatatype="5" unbalanced="0"/>
    <cacheHierarchy uniqueName="[Table2].[Performance_Flag]" caption="Performance_Flag" attribute="1" defaultMemberUniqueName="[Table2].[Performance_Flag].[All]" allUniqueName="[Table2].[Performance_Flag].[All]" dimensionUniqueName="[Table2]" displayFolder="" count="0" memberValueDatatype="130" unbalanced="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arget_SAR]" caption="Sum of Target_SAR" measure="1" displayFolder="" measureGroup="Table1" count="0" hidden="1">
      <extLst>
        <ext xmlns:x15="http://schemas.microsoft.com/office/spreadsheetml/2010/11/main" uri="{B97F6D7D-B522-45F9-BDA1-12C45D357490}">
          <x15:cacheHierarchy aggregatedColumn="2"/>
        </ext>
      </extLst>
    </cacheHierarchy>
    <cacheHierarchy uniqueName="[Measures].[Sum of Actual_SAR]" caption="Sum of Actual_SAR" measure="1" displayFolder="" measureGroup="Table1" count="0" hidden="1">
      <extLst>
        <ext xmlns:x15="http://schemas.microsoft.com/office/spreadsheetml/2010/11/main" uri="{B97F6D7D-B522-45F9-BDA1-12C45D357490}">
          <x15:cacheHierarchy aggregatedColumn="3"/>
        </ext>
      </extLst>
    </cacheHierarchy>
    <cacheHierarchy uniqueName="[Measures].[Sum of Total_Revenue_SAR]" caption="Sum of Total_Revenue_SAR" measure="1" displayFolder="" measureGroup="Table2" count="0" hidden="1">
      <extLst>
        <ext xmlns:x15="http://schemas.microsoft.com/office/spreadsheetml/2010/11/main" uri="{B97F6D7D-B522-45F9-BDA1-12C45D357490}">
          <x15:cacheHierarchy aggregatedColumn="16"/>
        </ext>
      </extLst>
    </cacheHierarchy>
    <cacheHierarchy uniqueName="[Measures].[Sum of Units_Sold]" caption="Sum of Units_Sold" measure="1" displayFolder="" measureGroup="Table2" count="0" hidden="1">
      <extLst>
        <ext xmlns:x15="http://schemas.microsoft.com/office/spreadsheetml/2010/11/main" uri="{B97F6D7D-B522-45F9-BDA1-12C45D357490}">
          <x15:cacheHierarchy aggregatedColumn="14"/>
        </ext>
      </extLst>
    </cacheHierarchy>
    <cacheHierarchy uniqueName="[Measures].[Sum of Cost_SAR]" caption="Sum of Cost_SAR" measure="1" displayFolder="" measureGroup="Table2" count="0" hidden="1">
      <extLst>
        <ext xmlns:x15="http://schemas.microsoft.com/office/spreadsheetml/2010/11/main" uri="{B97F6D7D-B522-45F9-BDA1-12C45D357490}">
          <x15:cacheHierarchy aggregatedColumn="17"/>
        </ext>
      </extLst>
    </cacheHierarchy>
    <cacheHierarchy uniqueName="[Measures].[Sum of Profit_Margin%]" caption="Sum of Profit_Margin%" measure="1" displayFolder="" measureGroup="Table2" count="0" hidden="1">
      <extLst>
        <ext xmlns:x15="http://schemas.microsoft.com/office/spreadsheetml/2010/11/main" uri="{B97F6D7D-B522-45F9-BDA1-12C45D357490}">
          <x15:cacheHierarchy aggregatedColumn="19"/>
        </ext>
      </extLst>
    </cacheHierarchy>
    <cacheHierarchy uniqueName="[Measures].[Average of Profit_Margin%]" caption="Average of Profit_Margin%" measure="1" displayFolder="" measureGroup="Table2" count="0" hidden="1">
      <extLst>
        <ext xmlns:x15="http://schemas.microsoft.com/office/spreadsheetml/2010/11/main" uri="{B97F6D7D-B522-45F9-BDA1-12C45D357490}">
          <x15:cacheHierarchy aggregatedColumn="19"/>
        </ext>
      </extLst>
    </cacheHierarchy>
    <cacheHierarchy uniqueName="[Measures].[Sum of Profit_SAR]" caption="Sum of Profit_SAR" measure="1" displayFolder="" measureGroup="Table2"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155725857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2">
  <r>
    <s v="ORD-1001"/>
    <d v="2023-04-24T00:00:00"/>
    <x v="0"/>
    <x v="0"/>
    <x v="0"/>
    <x v="0"/>
    <x v="0"/>
    <x v="0"/>
    <n v="5"/>
    <n v="85"/>
    <n v="425"/>
    <n v="276.25"/>
    <n v="148.75"/>
    <n v="0.35"/>
    <s v="Low"/>
  </r>
  <r>
    <s v="ORD-1002"/>
    <d v="2023-04-02T00:00:00"/>
    <x v="0"/>
    <x v="0"/>
    <x v="1"/>
    <x v="1"/>
    <x v="0"/>
    <x v="1"/>
    <n v="14"/>
    <n v="120"/>
    <n v="1680"/>
    <n v="1092"/>
    <n v="588"/>
    <n v="0.35"/>
    <s v="Low"/>
  </r>
  <r>
    <s v="ORD-1003"/>
    <d v="2023-04-20T00:00:00"/>
    <x v="0"/>
    <x v="0"/>
    <x v="0"/>
    <x v="0"/>
    <x v="0"/>
    <x v="2"/>
    <n v="17"/>
    <n v="450"/>
    <n v="7650"/>
    <n v="4972.5"/>
    <n v="2677.5"/>
    <n v="0.35"/>
    <s v="Low"/>
  </r>
  <r>
    <s v="ORD-1004"/>
    <d v="2023-04-23T00:00:00"/>
    <x v="0"/>
    <x v="0"/>
    <x v="2"/>
    <x v="0"/>
    <x v="0"/>
    <x v="1"/>
    <n v="21"/>
    <n v="120"/>
    <n v="2520"/>
    <n v="1638"/>
    <n v="882"/>
    <n v="0.35"/>
    <s v="Low"/>
  </r>
  <r>
    <s v="ORD-1005"/>
    <d v="2023-04-09T00:00:00"/>
    <x v="0"/>
    <x v="0"/>
    <x v="3"/>
    <x v="0"/>
    <x v="1"/>
    <x v="3"/>
    <n v="19"/>
    <n v="175"/>
    <n v="3325"/>
    <n v="2061.5"/>
    <n v="1263.5"/>
    <n v="0.38"/>
    <s v="Low"/>
  </r>
  <r>
    <s v="ORD-1006"/>
    <d v="2023-04-05T00:00:00"/>
    <x v="0"/>
    <x v="0"/>
    <x v="4"/>
    <x v="2"/>
    <x v="0"/>
    <x v="4"/>
    <n v="9"/>
    <n v="320"/>
    <n v="2880"/>
    <n v="1872"/>
    <n v="1008"/>
    <n v="0.35"/>
    <s v="Low"/>
  </r>
  <r>
    <s v="ORD-1007"/>
    <d v="2023-04-04T00:00:00"/>
    <x v="0"/>
    <x v="0"/>
    <x v="5"/>
    <x v="1"/>
    <x v="2"/>
    <x v="5"/>
    <n v="13"/>
    <n v="35"/>
    <n v="455"/>
    <n v="227.5"/>
    <n v="227.5"/>
    <n v="0.5"/>
    <s v="High"/>
  </r>
  <r>
    <s v="ORD-1008"/>
    <d v="2023-04-24T00:00:00"/>
    <x v="0"/>
    <x v="0"/>
    <x v="4"/>
    <x v="3"/>
    <x v="3"/>
    <x v="6"/>
    <n v="2"/>
    <n v="290"/>
    <n v="580"/>
    <n v="348"/>
    <n v="232"/>
    <n v="0.4"/>
    <s v="High"/>
  </r>
  <r>
    <s v="ORD-1009"/>
    <d v="2023-04-18T00:00:00"/>
    <x v="0"/>
    <x v="0"/>
    <x v="3"/>
    <x v="1"/>
    <x v="4"/>
    <x v="7"/>
    <n v="3"/>
    <n v="19"/>
    <n v="57"/>
    <n v="25.65"/>
    <n v="31.35"/>
    <n v="0.55000000000000004"/>
    <s v="High"/>
  </r>
  <r>
    <s v="ORD-1010"/>
    <d v="2023-04-23T00:00:00"/>
    <x v="0"/>
    <x v="0"/>
    <x v="1"/>
    <x v="4"/>
    <x v="3"/>
    <x v="8"/>
    <n v="7"/>
    <n v="175"/>
    <n v="1225"/>
    <n v="735"/>
    <n v="490"/>
    <n v="0.4"/>
    <s v="High"/>
  </r>
  <r>
    <s v="ORD-1011"/>
    <d v="2023-04-03T00:00:00"/>
    <x v="0"/>
    <x v="0"/>
    <x v="6"/>
    <x v="0"/>
    <x v="0"/>
    <x v="2"/>
    <n v="10"/>
    <n v="450"/>
    <n v="4500"/>
    <n v="2925"/>
    <n v="1575"/>
    <n v="0.35"/>
    <s v="Low"/>
  </r>
  <r>
    <s v="ORD-1012"/>
    <d v="2023-05-27T00:00:00"/>
    <x v="1"/>
    <x v="0"/>
    <x v="3"/>
    <x v="4"/>
    <x v="0"/>
    <x v="9"/>
    <n v="21"/>
    <n v="45"/>
    <n v="945"/>
    <n v="614.25"/>
    <n v="330.75"/>
    <n v="0.35"/>
    <s v="Low"/>
  </r>
  <r>
    <s v="ORD-1013"/>
    <d v="2023-05-22T00:00:00"/>
    <x v="1"/>
    <x v="0"/>
    <x v="4"/>
    <x v="4"/>
    <x v="3"/>
    <x v="10"/>
    <n v="7"/>
    <n v="620"/>
    <n v="4340"/>
    <n v="2604"/>
    <n v="1736"/>
    <n v="0.4"/>
    <s v="High"/>
  </r>
  <r>
    <s v="ORD-1014"/>
    <d v="2023-05-18T00:00:00"/>
    <x v="1"/>
    <x v="0"/>
    <x v="2"/>
    <x v="3"/>
    <x v="3"/>
    <x v="11"/>
    <n v="6"/>
    <n v="380"/>
    <n v="2280"/>
    <n v="1368"/>
    <n v="912"/>
    <n v="0.4"/>
    <s v="High"/>
  </r>
  <r>
    <s v="ORD-1015"/>
    <d v="2023-05-21T00:00:00"/>
    <x v="1"/>
    <x v="0"/>
    <x v="3"/>
    <x v="2"/>
    <x v="2"/>
    <x v="12"/>
    <n v="9"/>
    <n v="25"/>
    <n v="225"/>
    <n v="112.5"/>
    <n v="112.5"/>
    <n v="0.5"/>
    <s v="High"/>
  </r>
  <r>
    <s v="ORD-1016"/>
    <d v="2023-05-25T00:00:00"/>
    <x v="1"/>
    <x v="0"/>
    <x v="6"/>
    <x v="4"/>
    <x v="1"/>
    <x v="13"/>
    <n v="25"/>
    <n v="320"/>
    <n v="8000"/>
    <n v="4960"/>
    <n v="3040"/>
    <n v="0.38"/>
    <s v="Low"/>
  </r>
  <r>
    <s v="ORD-1017"/>
    <d v="2023-05-13T00:00:00"/>
    <x v="1"/>
    <x v="0"/>
    <x v="6"/>
    <x v="1"/>
    <x v="0"/>
    <x v="4"/>
    <n v="11"/>
    <n v="320"/>
    <n v="3520"/>
    <n v="2288"/>
    <n v="1232"/>
    <n v="0.35"/>
    <s v="Low"/>
  </r>
  <r>
    <s v="ORD-1018"/>
    <d v="2023-05-11T00:00:00"/>
    <x v="1"/>
    <x v="0"/>
    <x v="1"/>
    <x v="0"/>
    <x v="3"/>
    <x v="11"/>
    <n v="23"/>
    <n v="380"/>
    <n v="8740"/>
    <n v="5244"/>
    <n v="3496"/>
    <n v="0.4"/>
    <s v="High"/>
  </r>
  <r>
    <s v="ORD-1019"/>
    <d v="2023-05-05T00:00:00"/>
    <x v="1"/>
    <x v="0"/>
    <x v="2"/>
    <x v="2"/>
    <x v="2"/>
    <x v="14"/>
    <n v="15"/>
    <n v="12"/>
    <n v="180"/>
    <n v="90"/>
    <n v="90"/>
    <n v="0.5"/>
    <s v="High"/>
  </r>
  <r>
    <s v="ORD-1020"/>
    <d v="2023-05-18T00:00:00"/>
    <x v="1"/>
    <x v="0"/>
    <x v="2"/>
    <x v="0"/>
    <x v="3"/>
    <x v="10"/>
    <n v="18"/>
    <n v="620"/>
    <n v="11160"/>
    <n v="6696"/>
    <n v="4464"/>
    <n v="0.4"/>
    <s v="High"/>
  </r>
  <r>
    <s v="ORD-1021"/>
    <d v="2023-05-12T00:00:00"/>
    <x v="1"/>
    <x v="0"/>
    <x v="1"/>
    <x v="2"/>
    <x v="3"/>
    <x v="8"/>
    <n v="13"/>
    <n v="175"/>
    <n v="2275"/>
    <n v="1365"/>
    <n v="910"/>
    <n v="0.4"/>
    <s v="High"/>
  </r>
  <r>
    <s v="ORD-1022"/>
    <d v="2023-05-25T00:00:00"/>
    <x v="1"/>
    <x v="0"/>
    <x v="3"/>
    <x v="3"/>
    <x v="2"/>
    <x v="12"/>
    <n v="3"/>
    <n v="25"/>
    <n v="75"/>
    <n v="37.5"/>
    <n v="37.5"/>
    <n v="0.5"/>
    <s v="High"/>
  </r>
  <r>
    <s v="ORD-1023"/>
    <d v="2023-05-26T00:00:00"/>
    <x v="1"/>
    <x v="0"/>
    <x v="2"/>
    <x v="0"/>
    <x v="0"/>
    <x v="2"/>
    <n v="6"/>
    <n v="450"/>
    <n v="2700"/>
    <n v="1755"/>
    <n v="945"/>
    <n v="0.35"/>
    <s v="Low"/>
  </r>
  <r>
    <s v="ORD-1024"/>
    <d v="2023-05-20T00:00:00"/>
    <x v="1"/>
    <x v="0"/>
    <x v="3"/>
    <x v="1"/>
    <x v="4"/>
    <x v="7"/>
    <n v="13"/>
    <n v="19"/>
    <n v="247"/>
    <n v="111.15"/>
    <n v="135.85"/>
    <n v="0.54999999999999993"/>
    <s v="High"/>
  </r>
  <r>
    <s v="ORD-1025"/>
    <d v="2023-06-22T00:00:00"/>
    <x v="2"/>
    <x v="0"/>
    <x v="6"/>
    <x v="3"/>
    <x v="1"/>
    <x v="15"/>
    <n v="1"/>
    <n v="280"/>
    <n v="280"/>
    <n v="173.6"/>
    <n v="106.4"/>
    <n v="0.38"/>
    <s v="Low"/>
  </r>
  <r>
    <s v="ORD-1026"/>
    <d v="2023-06-11T00:00:00"/>
    <x v="2"/>
    <x v="0"/>
    <x v="6"/>
    <x v="4"/>
    <x v="0"/>
    <x v="1"/>
    <n v="21"/>
    <n v="120"/>
    <n v="2520"/>
    <n v="1638"/>
    <n v="882"/>
    <n v="0.35"/>
    <s v="Low"/>
  </r>
  <r>
    <s v="ORD-1027"/>
    <d v="2023-06-01T00:00:00"/>
    <x v="2"/>
    <x v="0"/>
    <x v="0"/>
    <x v="2"/>
    <x v="0"/>
    <x v="0"/>
    <n v="15"/>
    <n v="85"/>
    <n v="1275"/>
    <n v="828.75"/>
    <n v="446.25"/>
    <n v="0.35"/>
    <s v="Low"/>
  </r>
  <r>
    <s v="ORD-1028"/>
    <d v="2023-06-28T00:00:00"/>
    <x v="2"/>
    <x v="0"/>
    <x v="1"/>
    <x v="0"/>
    <x v="3"/>
    <x v="8"/>
    <n v="4"/>
    <n v="175"/>
    <n v="700"/>
    <n v="420"/>
    <n v="280"/>
    <n v="0.4"/>
    <s v="High"/>
  </r>
  <r>
    <s v="ORD-1029"/>
    <d v="2023-06-12T00:00:00"/>
    <x v="2"/>
    <x v="0"/>
    <x v="0"/>
    <x v="3"/>
    <x v="3"/>
    <x v="8"/>
    <n v="5"/>
    <n v="175"/>
    <n v="875"/>
    <n v="525"/>
    <n v="350"/>
    <n v="0.4"/>
    <s v="High"/>
  </r>
  <r>
    <s v="ORD-1030"/>
    <d v="2023-06-11T00:00:00"/>
    <x v="2"/>
    <x v="0"/>
    <x v="5"/>
    <x v="3"/>
    <x v="2"/>
    <x v="16"/>
    <n v="20"/>
    <n v="15"/>
    <n v="300"/>
    <n v="150"/>
    <n v="150"/>
    <n v="0.5"/>
    <s v="High"/>
  </r>
  <r>
    <s v="ORD-1031"/>
    <d v="2023-06-08T00:00:00"/>
    <x v="2"/>
    <x v="0"/>
    <x v="4"/>
    <x v="1"/>
    <x v="4"/>
    <x v="17"/>
    <n v="10"/>
    <n v="22"/>
    <n v="220"/>
    <n v="99"/>
    <n v="121"/>
    <n v="0.55000000000000004"/>
    <s v="High"/>
  </r>
  <r>
    <s v="ORD-1032"/>
    <d v="2023-06-24T00:00:00"/>
    <x v="2"/>
    <x v="0"/>
    <x v="5"/>
    <x v="3"/>
    <x v="0"/>
    <x v="4"/>
    <n v="3"/>
    <n v="320"/>
    <n v="960"/>
    <n v="624"/>
    <n v="336"/>
    <n v="0.35"/>
    <s v="Low"/>
  </r>
  <r>
    <s v="ORD-1033"/>
    <d v="2023-06-05T00:00:00"/>
    <x v="2"/>
    <x v="0"/>
    <x v="6"/>
    <x v="3"/>
    <x v="4"/>
    <x v="17"/>
    <n v="5"/>
    <n v="22"/>
    <n v="110"/>
    <n v="49.5"/>
    <n v="60.5"/>
    <n v="0.55000000000000004"/>
    <s v="High"/>
  </r>
  <r>
    <s v="ORD-1034"/>
    <d v="2023-06-28T00:00:00"/>
    <x v="2"/>
    <x v="0"/>
    <x v="4"/>
    <x v="0"/>
    <x v="4"/>
    <x v="7"/>
    <n v="17"/>
    <n v="19"/>
    <n v="323"/>
    <n v="145.35"/>
    <n v="177.65"/>
    <n v="0.55000000000000004"/>
    <s v="High"/>
  </r>
  <r>
    <s v="ORD-1035"/>
    <d v="2023-06-24T00:00:00"/>
    <x v="2"/>
    <x v="0"/>
    <x v="1"/>
    <x v="0"/>
    <x v="1"/>
    <x v="3"/>
    <n v="25"/>
    <n v="175"/>
    <n v="4375"/>
    <n v="2712.5"/>
    <n v="1662.5"/>
    <n v="0.38"/>
    <s v="Low"/>
  </r>
  <r>
    <s v="ORD-1036"/>
    <d v="2023-06-12T00:00:00"/>
    <x v="2"/>
    <x v="0"/>
    <x v="2"/>
    <x v="2"/>
    <x v="2"/>
    <x v="5"/>
    <n v="21"/>
    <n v="35"/>
    <n v="735"/>
    <n v="367.5"/>
    <n v="367.5"/>
    <n v="0.5"/>
    <s v="High"/>
  </r>
  <r>
    <s v="ORD-1037"/>
    <d v="2023-06-08T00:00:00"/>
    <x v="2"/>
    <x v="0"/>
    <x v="5"/>
    <x v="2"/>
    <x v="4"/>
    <x v="7"/>
    <n v="8"/>
    <n v="19"/>
    <n v="152"/>
    <n v="68.400000000000006"/>
    <n v="83.6"/>
    <n v="0.54999999999999993"/>
    <s v="High"/>
  </r>
  <r>
    <s v="ORD-1038"/>
    <d v="2023-06-08T00:00:00"/>
    <x v="2"/>
    <x v="0"/>
    <x v="1"/>
    <x v="1"/>
    <x v="0"/>
    <x v="0"/>
    <n v="18"/>
    <n v="85"/>
    <n v="1530"/>
    <n v="994.5"/>
    <n v="535.5"/>
    <n v="0.35"/>
    <s v="Low"/>
  </r>
  <r>
    <s v="ORD-1039"/>
    <d v="2023-06-21T00:00:00"/>
    <x v="2"/>
    <x v="0"/>
    <x v="5"/>
    <x v="1"/>
    <x v="1"/>
    <x v="13"/>
    <n v="23"/>
    <n v="320"/>
    <n v="7360"/>
    <n v="4563.2"/>
    <n v="2796.8"/>
    <n v="0.38"/>
    <s v="Low"/>
  </r>
  <r>
    <s v="ORD-1040"/>
    <d v="2023-06-03T00:00:00"/>
    <x v="2"/>
    <x v="0"/>
    <x v="5"/>
    <x v="1"/>
    <x v="0"/>
    <x v="4"/>
    <n v="11"/>
    <n v="320"/>
    <n v="3520"/>
    <n v="2288"/>
    <n v="1232"/>
    <n v="0.35"/>
    <s v="Low"/>
  </r>
  <r>
    <s v="ORD-1041"/>
    <d v="2023-06-07T00:00:00"/>
    <x v="2"/>
    <x v="0"/>
    <x v="2"/>
    <x v="4"/>
    <x v="1"/>
    <x v="13"/>
    <n v="16"/>
    <n v="320"/>
    <n v="5120"/>
    <n v="3174.4"/>
    <n v="1945.6"/>
    <n v="0.38"/>
    <s v="Low"/>
  </r>
  <r>
    <s v="ORD-1042"/>
    <d v="2023-07-26T00:00:00"/>
    <x v="3"/>
    <x v="1"/>
    <x v="3"/>
    <x v="3"/>
    <x v="2"/>
    <x v="16"/>
    <n v="8"/>
    <n v="15"/>
    <n v="120"/>
    <n v="60"/>
    <n v="60"/>
    <n v="0.5"/>
    <s v="High"/>
  </r>
  <r>
    <s v="ORD-1043"/>
    <d v="2023-07-22T00:00:00"/>
    <x v="3"/>
    <x v="1"/>
    <x v="5"/>
    <x v="0"/>
    <x v="4"/>
    <x v="18"/>
    <n v="4"/>
    <n v="14"/>
    <n v="56"/>
    <n v="25.2"/>
    <n v="30.8"/>
    <n v="0.55000000000000004"/>
    <s v="High"/>
  </r>
  <r>
    <s v="ORD-1044"/>
    <d v="2023-07-28T00:00:00"/>
    <x v="3"/>
    <x v="1"/>
    <x v="3"/>
    <x v="2"/>
    <x v="4"/>
    <x v="19"/>
    <n v="15"/>
    <n v="28"/>
    <n v="420"/>
    <n v="189"/>
    <n v="231"/>
    <n v="0.55000000000000004"/>
    <s v="High"/>
  </r>
  <r>
    <s v="ORD-1045"/>
    <d v="2023-07-11T00:00:00"/>
    <x v="3"/>
    <x v="1"/>
    <x v="3"/>
    <x v="1"/>
    <x v="0"/>
    <x v="2"/>
    <n v="24"/>
    <n v="450"/>
    <n v="10800"/>
    <n v="7020"/>
    <n v="3780"/>
    <n v="0.35"/>
    <s v="Low"/>
  </r>
  <r>
    <s v="ORD-1046"/>
    <d v="2023-07-15T00:00:00"/>
    <x v="3"/>
    <x v="1"/>
    <x v="0"/>
    <x v="0"/>
    <x v="0"/>
    <x v="4"/>
    <n v="18"/>
    <n v="320"/>
    <n v="5760"/>
    <n v="3744"/>
    <n v="2016"/>
    <n v="0.35"/>
    <s v="Low"/>
  </r>
  <r>
    <s v="ORD-1047"/>
    <d v="2023-07-08T00:00:00"/>
    <x v="3"/>
    <x v="1"/>
    <x v="4"/>
    <x v="0"/>
    <x v="2"/>
    <x v="14"/>
    <n v="15"/>
    <n v="12"/>
    <n v="180"/>
    <n v="90"/>
    <n v="90"/>
    <n v="0.5"/>
    <s v="High"/>
  </r>
  <r>
    <s v="ORD-1048"/>
    <d v="2023-07-21T00:00:00"/>
    <x v="3"/>
    <x v="1"/>
    <x v="5"/>
    <x v="3"/>
    <x v="0"/>
    <x v="9"/>
    <n v="2"/>
    <n v="45"/>
    <n v="90"/>
    <n v="58.5"/>
    <n v="31.5"/>
    <n v="0.35"/>
    <s v="Low"/>
  </r>
  <r>
    <s v="ORD-1049"/>
    <d v="2023-07-06T00:00:00"/>
    <x v="3"/>
    <x v="1"/>
    <x v="6"/>
    <x v="1"/>
    <x v="1"/>
    <x v="20"/>
    <n v="8"/>
    <n v="540"/>
    <n v="4320"/>
    <n v="2678.4"/>
    <n v="1641.6"/>
    <n v="0.38"/>
    <s v="Low"/>
  </r>
  <r>
    <s v="ORD-1050"/>
    <d v="2023-07-02T00:00:00"/>
    <x v="3"/>
    <x v="1"/>
    <x v="0"/>
    <x v="2"/>
    <x v="4"/>
    <x v="18"/>
    <n v="13"/>
    <n v="14"/>
    <n v="182"/>
    <n v="81.900000000000006"/>
    <n v="100.1"/>
    <n v="0.54999999999999993"/>
    <s v="High"/>
  </r>
  <r>
    <s v="ORD-1051"/>
    <d v="2023-07-26T00:00:00"/>
    <x v="3"/>
    <x v="1"/>
    <x v="3"/>
    <x v="1"/>
    <x v="2"/>
    <x v="14"/>
    <n v="9"/>
    <n v="12"/>
    <n v="108"/>
    <n v="54"/>
    <n v="54"/>
    <n v="0.5"/>
    <s v="High"/>
  </r>
  <r>
    <s v="ORD-1052"/>
    <d v="2023-07-26T00:00:00"/>
    <x v="3"/>
    <x v="1"/>
    <x v="2"/>
    <x v="2"/>
    <x v="4"/>
    <x v="19"/>
    <n v="24"/>
    <n v="28"/>
    <n v="672"/>
    <n v="302.39999999999998"/>
    <n v="369.6"/>
    <n v="0.55000000000000004"/>
    <s v="High"/>
  </r>
  <r>
    <s v="ORD-1053"/>
    <d v="2023-07-07T00:00:00"/>
    <x v="3"/>
    <x v="1"/>
    <x v="0"/>
    <x v="0"/>
    <x v="1"/>
    <x v="3"/>
    <n v="10"/>
    <n v="175"/>
    <n v="1750"/>
    <n v="1085"/>
    <n v="665"/>
    <n v="0.38"/>
    <s v="Low"/>
  </r>
  <r>
    <s v="ORD-1054"/>
    <d v="2023-07-11T00:00:00"/>
    <x v="3"/>
    <x v="1"/>
    <x v="5"/>
    <x v="3"/>
    <x v="0"/>
    <x v="1"/>
    <n v="24"/>
    <n v="120"/>
    <n v="2880"/>
    <n v="1872"/>
    <n v="1008"/>
    <n v="0.35"/>
    <s v="Low"/>
  </r>
  <r>
    <s v="ORD-1055"/>
    <d v="2023-07-28T00:00:00"/>
    <x v="3"/>
    <x v="1"/>
    <x v="3"/>
    <x v="3"/>
    <x v="0"/>
    <x v="2"/>
    <n v="17"/>
    <n v="450"/>
    <n v="7650"/>
    <n v="4972.5"/>
    <n v="2677.5"/>
    <n v="0.35"/>
    <s v="Low"/>
  </r>
  <r>
    <s v="ORD-1056"/>
    <d v="2023-07-28T00:00:00"/>
    <x v="3"/>
    <x v="1"/>
    <x v="1"/>
    <x v="1"/>
    <x v="1"/>
    <x v="13"/>
    <n v="3"/>
    <n v="320"/>
    <n v="960"/>
    <n v="595.20000000000005"/>
    <n v="364.79999999999995"/>
    <n v="0.37999999999999995"/>
    <s v="Low"/>
  </r>
  <r>
    <s v="ORD-1057"/>
    <d v="2023-07-28T00:00:00"/>
    <x v="3"/>
    <x v="1"/>
    <x v="5"/>
    <x v="3"/>
    <x v="2"/>
    <x v="21"/>
    <n v="22"/>
    <n v="18"/>
    <n v="396"/>
    <n v="198"/>
    <n v="198"/>
    <n v="0.5"/>
    <s v="High"/>
  </r>
  <r>
    <s v="ORD-1058"/>
    <d v="2023-07-19T00:00:00"/>
    <x v="3"/>
    <x v="1"/>
    <x v="1"/>
    <x v="1"/>
    <x v="2"/>
    <x v="14"/>
    <n v="8"/>
    <n v="12"/>
    <n v="96"/>
    <n v="48"/>
    <n v="48"/>
    <n v="0.5"/>
    <s v="High"/>
  </r>
  <r>
    <s v="ORD-1059"/>
    <d v="2023-07-22T00:00:00"/>
    <x v="3"/>
    <x v="1"/>
    <x v="5"/>
    <x v="3"/>
    <x v="1"/>
    <x v="20"/>
    <n v="14"/>
    <n v="540"/>
    <n v="7560"/>
    <n v="4687.2"/>
    <n v="2872.8"/>
    <n v="0.38"/>
    <s v="Low"/>
  </r>
  <r>
    <s v="ORD-1060"/>
    <d v="2023-08-11T00:00:00"/>
    <x v="4"/>
    <x v="1"/>
    <x v="2"/>
    <x v="0"/>
    <x v="3"/>
    <x v="6"/>
    <n v="23"/>
    <n v="290"/>
    <n v="6670"/>
    <n v="4002"/>
    <n v="2668"/>
    <n v="0.4"/>
    <s v="High"/>
  </r>
  <r>
    <s v="ORD-1061"/>
    <d v="2023-08-21T00:00:00"/>
    <x v="4"/>
    <x v="1"/>
    <x v="0"/>
    <x v="2"/>
    <x v="2"/>
    <x v="5"/>
    <n v="22"/>
    <n v="35"/>
    <n v="770"/>
    <n v="385"/>
    <n v="385"/>
    <n v="0.5"/>
    <s v="High"/>
  </r>
  <r>
    <s v="ORD-1062"/>
    <d v="2023-08-01T00:00:00"/>
    <x v="4"/>
    <x v="1"/>
    <x v="6"/>
    <x v="4"/>
    <x v="3"/>
    <x v="22"/>
    <n v="3"/>
    <n v="210"/>
    <n v="630"/>
    <n v="378"/>
    <n v="252"/>
    <n v="0.4"/>
    <s v="High"/>
  </r>
  <r>
    <s v="ORD-1063"/>
    <d v="2023-08-18T00:00:00"/>
    <x v="4"/>
    <x v="1"/>
    <x v="5"/>
    <x v="3"/>
    <x v="4"/>
    <x v="7"/>
    <n v="3"/>
    <n v="19"/>
    <n v="57"/>
    <n v="25.65"/>
    <n v="31.35"/>
    <n v="0.55000000000000004"/>
    <s v="High"/>
  </r>
  <r>
    <s v="ORD-1064"/>
    <d v="2023-08-03T00:00:00"/>
    <x v="4"/>
    <x v="1"/>
    <x v="0"/>
    <x v="4"/>
    <x v="2"/>
    <x v="16"/>
    <n v="12"/>
    <n v="15"/>
    <n v="180"/>
    <n v="90"/>
    <n v="90"/>
    <n v="0.5"/>
    <s v="High"/>
  </r>
  <r>
    <s v="ORD-1065"/>
    <d v="2023-08-27T00:00:00"/>
    <x v="4"/>
    <x v="1"/>
    <x v="0"/>
    <x v="4"/>
    <x v="2"/>
    <x v="5"/>
    <n v="15"/>
    <n v="35"/>
    <n v="525"/>
    <n v="262.5"/>
    <n v="262.5"/>
    <n v="0.5"/>
    <s v="High"/>
  </r>
  <r>
    <s v="ORD-1066"/>
    <d v="2023-08-17T00:00:00"/>
    <x v="4"/>
    <x v="1"/>
    <x v="6"/>
    <x v="3"/>
    <x v="1"/>
    <x v="15"/>
    <n v="21"/>
    <n v="280"/>
    <n v="5880"/>
    <n v="3645.6"/>
    <n v="2234.4"/>
    <n v="0.38"/>
    <s v="Low"/>
  </r>
  <r>
    <s v="ORD-1067"/>
    <d v="2023-08-05T00:00:00"/>
    <x v="4"/>
    <x v="1"/>
    <x v="2"/>
    <x v="4"/>
    <x v="0"/>
    <x v="1"/>
    <n v="4"/>
    <n v="120"/>
    <n v="480"/>
    <n v="312"/>
    <n v="168"/>
    <n v="0.35"/>
    <s v="Low"/>
  </r>
  <r>
    <s v="ORD-1068"/>
    <d v="2023-08-05T00:00:00"/>
    <x v="4"/>
    <x v="1"/>
    <x v="2"/>
    <x v="1"/>
    <x v="3"/>
    <x v="11"/>
    <n v="18"/>
    <n v="380"/>
    <n v="6840"/>
    <n v="4104"/>
    <n v="2736"/>
    <n v="0.4"/>
    <s v="High"/>
  </r>
  <r>
    <s v="ORD-1069"/>
    <d v="2023-08-11T00:00:00"/>
    <x v="4"/>
    <x v="1"/>
    <x v="0"/>
    <x v="3"/>
    <x v="3"/>
    <x v="6"/>
    <n v="23"/>
    <n v="290"/>
    <n v="6670"/>
    <n v="4002"/>
    <n v="2668"/>
    <n v="0.4"/>
    <s v="High"/>
  </r>
  <r>
    <s v="ORD-1070"/>
    <d v="2023-08-28T00:00:00"/>
    <x v="4"/>
    <x v="1"/>
    <x v="3"/>
    <x v="3"/>
    <x v="2"/>
    <x v="5"/>
    <n v="9"/>
    <n v="35"/>
    <n v="315"/>
    <n v="157.5"/>
    <n v="157.5"/>
    <n v="0.5"/>
    <s v="High"/>
  </r>
  <r>
    <s v="ORD-1071"/>
    <d v="2023-08-02T00:00:00"/>
    <x v="4"/>
    <x v="1"/>
    <x v="6"/>
    <x v="2"/>
    <x v="0"/>
    <x v="2"/>
    <n v="9"/>
    <n v="450"/>
    <n v="4050"/>
    <n v="2632.5"/>
    <n v="1417.5"/>
    <n v="0.35"/>
    <s v="Low"/>
  </r>
  <r>
    <s v="ORD-1072"/>
    <d v="2023-08-06T00:00:00"/>
    <x v="4"/>
    <x v="1"/>
    <x v="2"/>
    <x v="0"/>
    <x v="0"/>
    <x v="0"/>
    <n v="9"/>
    <n v="85"/>
    <n v="765"/>
    <n v="497.25"/>
    <n v="267.75"/>
    <n v="0.35"/>
    <s v="Low"/>
  </r>
  <r>
    <s v="ORD-1073"/>
    <d v="2023-08-04T00:00:00"/>
    <x v="4"/>
    <x v="1"/>
    <x v="1"/>
    <x v="2"/>
    <x v="4"/>
    <x v="7"/>
    <n v="1"/>
    <n v="19"/>
    <n v="19"/>
    <n v="8.5500000000000007"/>
    <n v="10.45"/>
    <n v="0.54999999999999993"/>
    <s v="High"/>
  </r>
  <r>
    <s v="ORD-1074"/>
    <d v="2023-08-19T00:00:00"/>
    <x v="4"/>
    <x v="1"/>
    <x v="5"/>
    <x v="3"/>
    <x v="0"/>
    <x v="4"/>
    <n v="12"/>
    <n v="320"/>
    <n v="3840"/>
    <n v="2496"/>
    <n v="1344"/>
    <n v="0.35"/>
    <s v="Low"/>
  </r>
  <r>
    <s v="ORD-1075"/>
    <d v="2023-08-10T00:00:00"/>
    <x v="4"/>
    <x v="1"/>
    <x v="0"/>
    <x v="2"/>
    <x v="1"/>
    <x v="13"/>
    <n v="2"/>
    <n v="320"/>
    <n v="640"/>
    <n v="396.8"/>
    <n v="243.2"/>
    <n v="0.38"/>
    <s v="Low"/>
  </r>
  <r>
    <s v="ORD-1076"/>
    <d v="2023-08-08T00:00:00"/>
    <x v="4"/>
    <x v="1"/>
    <x v="0"/>
    <x v="4"/>
    <x v="3"/>
    <x v="11"/>
    <n v="22"/>
    <n v="380"/>
    <n v="8360"/>
    <n v="5016"/>
    <n v="3344"/>
    <n v="0.4"/>
    <s v="High"/>
  </r>
  <r>
    <s v="ORD-1077"/>
    <d v="2023-08-20T00:00:00"/>
    <x v="4"/>
    <x v="1"/>
    <x v="6"/>
    <x v="3"/>
    <x v="0"/>
    <x v="0"/>
    <n v="14"/>
    <n v="85"/>
    <n v="1190"/>
    <n v="773.5"/>
    <n v="416.5"/>
    <n v="0.35"/>
    <s v="Low"/>
  </r>
  <r>
    <s v="ORD-1078"/>
    <d v="2023-09-06T00:00:00"/>
    <x v="5"/>
    <x v="1"/>
    <x v="3"/>
    <x v="0"/>
    <x v="2"/>
    <x v="12"/>
    <n v="1"/>
    <n v="25"/>
    <n v="25"/>
    <n v="12.5"/>
    <n v="12.5"/>
    <n v="0.5"/>
    <s v="High"/>
  </r>
  <r>
    <s v="ORD-1079"/>
    <d v="2023-09-26T00:00:00"/>
    <x v="5"/>
    <x v="1"/>
    <x v="4"/>
    <x v="0"/>
    <x v="3"/>
    <x v="22"/>
    <n v="6"/>
    <n v="210"/>
    <n v="1260"/>
    <n v="756"/>
    <n v="504"/>
    <n v="0.4"/>
    <s v="High"/>
  </r>
  <r>
    <s v="ORD-1080"/>
    <d v="2023-09-08T00:00:00"/>
    <x v="5"/>
    <x v="1"/>
    <x v="6"/>
    <x v="1"/>
    <x v="0"/>
    <x v="9"/>
    <n v="16"/>
    <n v="45"/>
    <n v="720"/>
    <n v="468"/>
    <n v="252"/>
    <n v="0.35"/>
    <s v="Low"/>
  </r>
  <r>
    <s v="ORD-1081"/>
    <d v="2023-09-08T00:00:00"/>
    <x v="5"/>
    <x v="1"/>
    <x v="4"/>
    <x v="4"/>
    <x v="2"/>
    <x v="14"/>
    <n v="8"/>
    <n v="12"/>
    <n v="96"/>
    <n v="48"/>
    <n v="48"/>
    <n v="0.5"/>
    <s v="High"/>
  </r>
  <r>
    <s v="ORD-1082"/>
    <d v="2023-09-28T00:00:00"/>
    <x v="5"/>
    <x v="1"/>
    <x v="4"/>
    <x v="2"/>
    <x v="0"/>
    <x v="4"/>
    <n v="9"/>
    <n v="320"/>
    <n v="2880"/>
    <n v="1872"/>
    <n v="1008"/>
    <n v="0.35"/>
    <s v="Low"/>
  </r>
  <r>
    <s v="ORD-1083"/>
    <d v="2023-09-13T00:00:00"/>
    <x v="5"/>
    <x v="1"/>
    <x v="2"/>
    <x v="4"/>
    <x v="0"/>
    <x v="0"/>
    <n v="17"/>
    <n v="85"/>
    <n v="1445"/>
    <n v="939.25"/>
    <n v="505.75"/>
    <n v="0.35"/>
    <s v="Low"/>
  </r>
  <r>
    <s v="ORD-1084"/>
    <d v="2023-09-06T00:00:00"/>
    <x v="5"/>
    <x v="1"/>
    <x v="5"/>
    <x v="1"/>
    <x v="1"/>
    <x v="15"/>
    <n v="9"/>
    <n v="280"/>
    <n v="2520"/>
    <n v="1562.4"/>
    <n v="957.59999999999991"/>
    <n v="0.37999999999999995"/>
    <s v="Low"/>
  </r>
  <r>
    <s v="ORD-1085"/>
    <d v="2023-09-14T00:00:00"/>
    <x v="5"/>
    <x v="1"/>
    <x v="5"/>
    <x v="1"/>
    <x v="1"/>
    <x v="15"/>
    <n v="20"/>
    <n v="280"/>
    <n v="5600"/>
    <n v="3472"/>
    <n v="2128"/>
    <n v="0.38"/>
    <s v="Low"/>
  </r>
  <r>
    <s v="ORD-1086"/>
    <d v="2023-09-04T00:00:00"/>
    <x v="5"/>
    <x v="1"/>
    <x v="1"/>
    <x v="2"/>
    <x v="3"/>
    <x v="6"/>
    <n v="17"/>
    <n v="290"/>
    <n v="4930"/>
    <n v="2958"/>
    <n v="1972"/>
    <n v="0.4"/>
    <s v="High"/>
  </r>
  <r>
    <s v="ORD-1087"/>
    <d v="2023-09-23T00:00:00"/>
    <x v="5"/>
    <x v="1"/>
    <x v="4"/>
    <x v="0"/>
    <x v="4"/>
    <x v="7"/>
    <n v="2"/>
    <n v="19"/>
    <n v="38"/>
    <n v="17.100000000000001"/>
    <n v="20.9"/>
    <n v="0.54999999999999993"/>
    <s v="High"/>
  </r>
  <r>
    <s v="ORD-1088"/>
    <d v="2023-09-22T00:00:00"/>
    <x v="5"/>
    <x v="1"/>
    <x v="6"/>
    <x v="3"/>
    <x v="4"/>
    <x v="17"/>
    <n v="18"/>
    <n v="22"/>
    <n v="396"/>
    <n v="178.2"/>
    <n v="217.8"/>
    <n v="0.55000000000000004"/>
    <s v="High"/>
  </r>
  <r>
    <s v="ORD-1089"/>
    <d v="2023-09-11T00:00:00"/>
    <x v="5"/>
    <x v="1"/>
    <x v="5"/>
    <x v="2"/>
    <x v="2"/>
    <x v="5"/>
    <n v="22"/>
    <n v="35"/>
    <n v="770"/>
    <n v="385"/>
    <n v="385"/>
    <n v="0.5"/>
    <s v="High"/>
  </r>
  <r>
    <s v="ORD-1090"/>
    <d v="2023-10-14T00:00:00"/>
    <x v="6"/>
    <x v="2"/>
    <x v="4"/>
    <x v="3"/>
    <x v="0"/>
    <x v="0"/>
    <n v="22"/>
    <n v="85"/>
    <n v="1870"/>
    <n v="1215.5"/>
    <n v="654.5"/>
    <n v="0.35"/>
    <s v="Low"/>
  </r>
  <r>
    <s v="ORD-1091"/>
    <d v="2023-10-07T00:00:00"/>
    <x v="6"/>
    <x v="2"/>
    <x v="1"/>
    <x v="4"/>
    <x v="3"/>
    <x v="22"/>
    <n v="5"/>
    <n v="210"/>
    <n v="1050"/>
    <n v="630"/>
    <n v="420"/>
    <n v="0.4"/>
    <s v="High"/>
  </r>
  <r>
    <s v="ORD-1092"/>
    <d v="2023-10-10T00:00:00"/>
    <x v="6"/>
    <x v="2"/>
    <x v="1"/>
    <x v="0"/>
    <x v="4"/>
    <x v="18"/>
    <n v="19"/>
    <n v="14"/>
    <n v="266"/>
    <n v="119.7"/>
    <n v="146.30000000000001"/>
    <n v="0.55000000000000004"/>
    <s v="High"/>
  </r>
  <r>
    <s v="ORD-1093"/>
    <d v="2023-10-07T00:00:00"/>
    <x v="6"/>
    <x v="2"/>
    <x v="4"/>
    <x v="1"/>
    <x v="4"/>
    <x v="7"/>
    <n v="10"/>
    <n v="19"/>
    <n v="190"/>
    <n v="85.5"/>
    <n v="104.5"/>
    <n v="0.55000000000000004"/>
    <s v="High"/>
  </r>
  <r>
    <s v="ORD-1094"/>
    <d v="2023-10-15T00:00:00"/>
    <x v="6"/>
    <x v="2"/>
    <x v="2"/>
    <x v="3"/>
    <x v="4"/>
    <x v="7"/>
    <n v="11"/>
    <n v="19"/>
    <n v="209"/>
    <n v="94.05"/>
    <n v="114.95"/>
    <n v="0.55000000000000004"/>
    <s v="High"/>
  </r>
  <r>
    <s v="ORD-1095"/>
    <d v="2023-10-26T00:00:00"/>
    <x v="6"/>
    <x v="2"/>
    <x v="1"/>
    <x v="0"/>
    <x v="4"/>
    <x v="18"/>
    <n v="16"/>
    <n v="14"/>
    <n v="224"/>
    <n v="100.8"/>
    <n v="123.2"/>
    <n v="0.55000000000000004"/>
    <s v="High"/>
  </r>
  <r>
    <s v="ORD-1096"/>
    <d v="2023-10-21T00:00:00"/>
    <x v="6"/>
    <x v="2"/>
    <x v="1"/>
    <x v="4"/>
    <x v="2"/>
    <x v="21"/>
    <n v="22"/>
    <n v="18"/>
    <n v="396"/>
    <n v="198"/>
    <n v="198"/>
    <n v="0.5"/>
    <s v="High"/>
  </r>
  <r>
    <s v="ORD-1097"/>
    <d v="2023-10-08T00:00:00"/>
    <x v="6"/>
    <x v="2"/>
    <x v="6"/>
    <x v="1"/>
    <x v="1"/>
    <x v="15"/>
    <n v="25"/>
    <n v="280"/>
    <n v="7000"/>
    <n v="4340"/>
    <n v="2660"/>
    <n v="0.38"/>
    <s v="Low"/>
  </r>
  <r>
    <s v="ORD-1098"/>
    <d v="2023-10-02T00:00:00"/>
    <x v="6"/>
    <x v="2"/>
    <x v="0"/>
    <x v="0"/>
    <x v="3"/>
    <x v="10"/>
    <n v="1"/>
    <n v="620"/>
    <n v="620"/>
    <n v="372"/>
    <n v="248"/>
    <n v="0.4"/>
    <s v="High"/>
  </r>
  <r>
    <s v="ORD-1099"/>
    <d v="2023-10-03T00:00:00"/>
    <x v="6"/>
    <x v="2"/>
    <x v="6"/>
    <x v="3"/>
    <x v="2"/>
    <x v="14"/>
    <n v="25"/>
    <n v="12"/>
    <n v="300"/>
    <n v="150"/>
    <n v="150"/>
    <n v="0.5"/>
    <s v="High"/>
  </r>
  <r>
    <s v="ORD-1100"/>
    <d v="2023-10-23T00:00:00"/>
    <x v="6"/>
    <x v="2"/>
    <x v="0"/>
    <x v="3"/>
    <x v="4"/>
    <x v="18"/>
    <n v="23"/>
    <n v="14"/>
    <n v="322"/>
    <n v="144.9"/>
    <n v="177.1"/>
    <n v="0.54999999999999993"/>
    <s v="High"/>
  </r>
  <r>
    <s v="ORD-1101"/>
    <d v="2023-10-21T00:00:00"/>
    <x v="6"/>
    <x v="2"/>
    <x v="0"/>
    <x v="2"/>
    <x v="4"/>
    <x v="18"/>
    <n v="5"/>
    <n v="14"/>
    <n v="70"/>
    <n v="31.5"/>
    <n v="38.5"/>
    <n v="0.55000000000000004"/>
    <s v="High"/>
  </r>
  <r>
    <s v="ORD-1102"/>
    <d v="2023-10-26T00:00:00"/>
    <x v="6"/>
    <x v="2"/>
    <x v="0"/>
    <x v="2"/>
    <x v="0"/>
    <x v="2"/>
    <n v="6"/>
    <n v="450"/>
    <n v="2700"/>
    <n v="1755"/>
    <n v="945"/>
    <n v="0.35"/>
    <s v="Low"/>
  </r>
  <r>
    <s v="ORD-1103"/>
    <d v="2023-10-28T00:00:00"/>
    <x v="6"/>
    <x v="2"/>
    <x v="1"/>
    <x v="1"/>
    <x v="1"/>
    <x v="3"/>
    <n v="8"/>
    <n v="175"/>
    <n v="1400"/>
    <n v="868"/>
    <n v="532"/>
    <n v="0.38"/>
    <s v="Low"/>
  </r>
  <r>
    <s v="ORD-1104"/>
    <d v="2023-10-22T00:00:00"/>
    <x v="6"/>
    <x v="2"/>
    <x v="6"/>
    <x v="0"/>
    <x v="0"/>
    <x v="9"/>
    <n v="15"/>
    <n v="45"/>
    <n v="675"/>
    <n v="438.75"/>
    <n v="236.25"/>
    <n v="0.35"/>
    <s v="Low"/>
  </r>
  <r>
    <s v="ORD-1105"/>
    <d v="2023-11-20T00:00:00"/>
    <x v="7"/>
    <x v="2"/>
    <x v="6"/>
    <x v="4"/>
    <x v="1"/>
    <x v="23"/>
    <n v="15"/>
    <n v="490"/>
    <n v="7350"/>
    <n v="4557"/>
    <n v="2793"/>
    <n v="0.38"/>
    <s v="Low"/>
  </r>
  <r>
    <s v="ORD-1106"/>
    <d v="2023-11-24T00:00:00"/>
    <x v="7"/>
    <x v="2"/>
    <x v="3"/>
    <x v="3"/>
    <x v="1"/>
    <x v="3"/>
    <n v="6"/>
    <n v="175"/>
    <n v="1050"/>
    <n v="651"/>
    <n v="399"/>
    <n v="0.38"/>
    <s v="Low"/>
  </r>
  <r>
    <s v="ORD-1107"/>
    <d v="2023-11-27T00:00:00"/>
    <x v="7"/>
    <x v="2"/>
    <x v="6"/>
    <x v="4"/>
    <x v="4"/>
    <x v="18"/>
    <n v="8"/>
    <n v="14"/>
    <n v="112"/>
    <n v="50.4"/>
    <n v="61.6"/>
    <n v="0.55000000000000004"/>
    <s v="High"/>
  </r>
  <r>
    <s v="ORD-1108"/>
    <d v="2023-11-09T00:00:00"/>
    <x v="7"/>
    <x v="2"/>
    <x v="2"/>
    <x v="2"/>
    <x v="3"/>
    <x v="8"/>
    <n v="8"/>
    <n v="175"/>
    <n v="1400"/>
    <n v="840"/>
    <n v="560"/>
    <n v="0.4"/>
    <s v="High"/>
  </r>
  <r>
    <s v="ORD-1109"/>
    <d v="2023-11-11T00:00:00"/>
    <x v="7"/>
    <x v="2"/>
    <x v="0"/>
    <x v="4"/>
    <x v="4"/>
    <x v="17"/>
    <n v="9"/>
    <n v="22"/>
    <n v="198"/>
    <n v="89.1"/>
    <n v="108.9"/>
    <n v="0.55000000000000004"/>
    <s v="High"/>
  </r>
  <r>
    <s v="ORD-1110"/>
    <d v="2023-11-08T00:00:00"/>
    <x v="7"/>
    <x v="2"/>
    <x v="0"/>
    <x v="1"/>
    <x v="3"/>
    <x v="8"/>
    <n v="5"/>
    <n v="175"/>
    <n v="875"/>
    <n v="525"/>
    <n v="350"/>
    <n v="0.4"/>
    <s v="High"/>
  </r>
  <r>
    <s v="ORD-1111"/>
    <d v="2023-11-14T00:00:00"/>
    <x v="7"/>
    <x v="2"/>
    <x v="5"/>
    <x v="0"/>
    <x v="4"/>
    <x v="24"/>
    <n v="14"/>
    <n v="38"/>
    <n v="532"/>
    <n v="239.4"/>
    <n v="292.60000000000002"/>
    <n v="0.55000000000000004"/>
    <s v="High"/>
  </r>
  <r>
    <s v="ORD-1112"/>
    <d v="2023-11-07T00:00:00"/>
    <x v="7"/>
    <x v="2"/>
    <x v="3"/>
    <x v="2"/>
    <x v="3"/>
    <x v="8"/>
    <n v="2"/>
    <n v="175"/>
    <n v="350"/>
    <n v="210"/>
    <n v="140"/>
    <n v="0.4"/>
    <s v="High"/>
  </r>
  <r>
    <s v="ORD-1113"/>
    <d v="2023-11-28T00:00:00"/>
    <x v="7"/>
    <x v="2"/>
    <x v="2"/>
    <x v="3"/>
    <x v="4"/>
    <x v="18"/>
    <n v="1"/>
    <n v="14"/>
    <n v="14"/>
    <n v="6.3"/>
    <n v="7.7"/>
    <n v="0.55000000000000004"/>
    <s v="High"/>
  </r>
  <r>
    <s v="ORD-1114"/>
    <d v="2023-11-10T00:00:00"/>
    <x v="7"/>
    <x v="2"/>
    <x v="5"/>
    <x v="2"/>
    <x v="1"/>
    <x v="3"/>
    <n v="12"/>
    <n v="175"/>
    <n v="2100"/>
    <n v="1302"/>
    <n v="798"/>
    <n v="0.38"/>
    <s v="Low"/>
  </r>
  <r>
    <s v="ORD-1115"/>
    <d v="2023-11-18T00:00:00"/>
    <x v="7"/>
    <x v="2"/>
    <x v="2"/>
    <x v="3"/>
    <x v="4"/>
    <x v="18"/>
    <n v="24"/>
    <n v="14"/>
    <n v="336"/>
    <n v="151.19999999999999"/>
    <n v="184.8"/>
    <n v="0.55000000000000004"/>
    <s v="High"/>
  </r>
  <r>
    <s v="ORD-1116"/>
    <d v="2023-11-14T00:00:00"/>
    <x v="7"/>
    <x v="2"/>
    <x v="0"/>
    <x v="2"/>
    <x v="1"/>
    <x v="13"/>
    <n v="9"/>
    <n v="320"/>
    <n v="2880"/>
    <n v="1785.6"/>
    <n v="1094.4000000000001"/>
    <n v="0.38"/>
    <s v="Low"/>
  </r>
  <r>
    <s v="ORD-1117"/>
    <d v="2023-11-22T00:00:00"/>
    <x v="7"/>
    <x v="2"/>
    <x v="4"/>
    <x v="2"/>
    <x v="4"/>
    <x v="17"/>
    <n v="22"/>
    <n v="22"/>
    <n v="484"/>
    <n v="217.8"/>
    <n v="266.2"/>
    <n v="0.54999999999999993"/>
    <s v="High"/>
  </r>
  <r>
    <s v="ORD-1118"/>
    <d v="2023-11-18T00:00:00"/>
    <x v="7"/>
    <x v="2"/>
    <x v="0"/>
    <x v="2"/>
    <x v="4"/>
    <x v="24"/>
    <n v="20"/>
    <n v="38"/>
    <n v="760"/>
    <n v="342"/>
    <n v="418"/>
    <n v="0.55000000000000004"/>
    <s v="High"/>
  </r>
  <r>
    <s v="ORD-1119"/>
    <d v="2023-11-01T00:00:00"/>
    <x v="7"/>
    <x v="2"/>
    <x v="1"/>
    <x v="3"/>
    <x v="0"/>
    <x v="9"/>
    <n v="22"/>
    <n v="45"/>
    <n v="990"/>
    <n v="643.5"/>
    <n v="346.5"/>
    <n v="0.35"/>
    <s v="Low"/>
  </r>
  <r>
    <s v="ORD-1120"/>
    <d v="2023-11-06T00:00:00"/>
    <x v="7"/>
    <x v="2"/>
    <x v="6"/>
    <x v="0"/>
    <x v="0"/>
    <x v="9"/>
    <n v="15"/>
    <n v="45"/>
    <n v="675"/>
    <n v="438.75"/>
    <n v="236.25"/>
    <n v="0.35"/>
    <s v="Low"/>
  </r>
  <r>
    <s v="ORD-1121"/>
    <d v="2023-11-15T00:00:00"/>
    <x v="7"/>
    <x v="2"/>
    <x v="4"/>
    <x v="2"/>
    <x v="0"/>
    <x v="0"/>
    <n v="7"/>
    <n v="85"/>
    <n v="595"/>
    <n v="386.75"/>
    <n v="208.25"/>
    <n v="0.35"/>
    <s v="Low"/>
  </r>
  <r>
    <s v="ORD-1122"/>
    <d v="2023-11-27T00:00:00"/>
    <x v="7"/>
    <x v="2"/>
    <x v="4"/>
    <x v="2"/>
    <x v="3"/>
    <x v="6"/>
    <n v="25"/>
    <n v="290"/>
    <n v="7250"/>
    <n v="4350"/>
    <n v="2900"/>
    <n v="0.4"/>
    <s v="High"/>
  </r>
  <r>
    <s v="ORD-1123"/>
    <d v="2023-12-18T00:00:00"/>
    <x v="8"/>
    <x v="2"/>
    <x v="5"/>
    <x v="2"/>
    <x v="3"/>
    <x v="11"/>
    <n v="24"/>
    <n v="380"/>
    <n v="9120"/>
    <n v="5472"/>
    <n v="3648"/>
    <n v="0.4"/>
    <s v="High"/>
  </r>
  <r>
    <s v="ORD-1124"/>
    <d v="2023-12-25T00:00:00"/>
    <x v="8"/>
    <x v="2"/>
    <x v="2"/>
    <x v="0"/>
    <x v="0"/>
    <x v="0"/>
    <n v="3"/>
    <n v="85"/>
    <n v="255"/>
    <n v="165.75"/>
    <n v="89.25"/>
    <n v="0.35"/>
    <s v="Low"/>
  </r>
  <r>
    <s v="ORD-1125"/>
    <d v="2023-12-20T00:00:00"/>
    <x v="8"/>
    <x v="2"/>
    <x v="0"/>
    <x v="0"/>
    <x v="0"/>
    <x v="2"/>
    <n v="1"/>
    <n v="450"/>
    <n v="450"/>
    <n v="292.5"/>
    <n v="157.5"/>
    <n v="0.35"/>
    <s v="Low"/>
  </r>
  <r>
    <s v="ORD-1126"/>
    <d v="2023-12-04T00:00:00"/>
    <x v="8"/>
    <x v="2"/>
    <x v="3"/>
    <x v="0"/>
    <x v="2"/>
    <x v="12"/>
    <n v="22"/>
    <n v="25"/>
    <n v="550"/>
    <n v="275"/>
    <n v="275"/>
    <n v="0.5"/>
    <s v="High"/>
  </r>
  <r>
    <s v="ORD-1127"/>
    <d v="2023-12-25T00:00:00"/>
    <x v="8"/>
    <x v="2"/>
    <x v="2"/>
    <x v="2"/>
    <x v="1"/>
    <x v="13"/>
    <n v="9"/>
    <n v="320"/>
    <n v="2880"/>
    <n v="1785.6"/>
    <n v="1094.4000000000001"/>
    <n v="0.38"/>
    <s v="Low"/>
  </r>
  <r>
    <s v="ORD-1128"/>
    <d v="2023-12-23T00:00:00"/>
    <x v="8"/>
    <x v="2"/>
    <x v="1"/>
    <x v="3"/>
    <x v="3"/>
    <x v="10"/>
    <n v="24"/>
    <n v="620"/>
    <n v="14880"/>
    <n v="8928"/>
    <n v="5952"/>
    <n v="0.4"/>
    <s v="High"/>
  </r>
  <r>
    <s v="ORD-1129"/>
    <d v="2023-12-01T00:00:00"/>
    <x v="8"/>
    <x v="2"/>
    <x v="5"/>
    <x v="4"/>
    <x v="0"/>
    <x v="4"/>
    <n v="19"/>
    <n v="320"/>
    <n v="6080"/>
    <n v="3952"/>
    <n v="2128"/>
    <n v="0.35"/>
    <s v="Low"/>
  </r>
  <r>
    <s v="ORD-1130"/>
    <d v="2023-12-07T00:00:00"/>
    <x v="8"/>
    <x v="2"/>
    <x v="3"/>
    <x v="2"/>
    <x v="3"/>
    <x v="8"/>
    <n v="23"/>
    <n v="175"/>
    <n v="4025"/>
    <n v="2415"/>
    <n v="1610"/>
    <n v="0.4"/>
    <s v="High"/>
  </r>
  <r>
    <s v="ORD-1131"/>
    <d v="2023-12-25T00:00:00"/>
    <x v="8"/>
    <x v="2"/>
    <x v="5"/>
    <x v="0"/>
    <x v="0"/>
    <x v="1"/>
    <n v="23"/>
    <n v="120"/>
    <n v="2760"/>
    <n v="1794"/>
    <n v="966"/>
    <n v="0.35"/>
    <s v="Low"/>
  </r>
  <r>
    <s v="ORD-1132"/>
    <d v="2023-12-26T00:00:00"/>
    <x v="8"/>
    <x v="2"/>
    <x v="6"/>
    <x v="1"/>
    <x v="3"/>
    <x v="8"/>
    <n v="19"/>
    <n v="175"/>
    <n v="3325"/>
    <n v="1995"/>
    <n v="1330"/>
    <n v="0.4"/>
    <s v="High"/>
  </r>
  <r>
    <s v="ORD-1133"/>
    <d v="2023-12-12T00:00:00"/>
    <x v="8"/>
    <x v="2"/>
    <x v="3"/>
    <x v="3"/>
    <x v="0"/>
    <x v="0"/>
    <n v="22"/>
    <n v="85"/>
    <n v="1870"/>
    <n v="1215.5"/>
    <n v="654.5"/>
    <n v="0.35"/>
    <s v="Low"/>
  </r>
  <r>
    <s v="ORD-1134"/>
    <d v="2023-12-27T00:00:00"/>
    <x v="8"/>
    <x v="2"/>
    <x v="5"/>
    <x v="4"/>
    <x v="0"/>
    <x v="1"/>
    <n v="14"/>
    <n v="120"/>
    <n v="1680"/>
    <n v="1092"/>
    <n v="588"/>
    <n v="0.35"/>
    <s v="Low"/>
  </r>
  <r>
    <s v="ORD-1135"/>
    <d v="2023-12-27T00:00:00"/>
    <x v="8"/>
    <x v="2"/>
    <x v="4"/>
    <x v="2"/>
    <x v="4"/>
    <x v="17"/>
    <n v="21"/>
    <n v="22"/>
    <n v="462"/>
    <n v="207.9"/>
    <n v="254.1"/>
    <n v="0.54999999999999993"/>
    <s v="High"/>
  </r>
  <r>
    <s v="ORD-1136"/>
    <d v="2023-12-17T00:00:00"/>
    <x v="8"/>
    <x v="2"/>
    <x v="0"/>
    <x v="2"/>
    <x v="4"/>
    <x v="24"/>
    <n v="24"/>
    <n v="38"/>
    <n v="912"/>
    <n v="410.4"/>
    <n v="501.6"/>
    <n v="0.55000000000000004"/>
    <s v="High"/>
  </r>
  <r>
    <s v="ORD-1137"/>
    <d v="2023-12-15T00:00:00"/>
    <x v="8"/>
    <x v="2"/>
    <x v="6"/>
    <x v="3"/>
    <x v="3"/>
    <x v="8"/>
    <n v="16"/>
    <n v="175"/>
    <n v="2800"/>
    <n v="1680"/>
    <n v="1120"/>
    <n v="0.4"/>
    <s v="High"/>
  </r>
  <r>
    <s v="ORD-1138"/>
    <d v="2023-12-27T00:00:00"/>
    <x v="8"/>
    <x v="2"/>
    <x v="4"/>
    <x v="4"/>
    <x v="4"/>
    <x v="7"/>
    <n v="8"/>
    <n v="19"/>
    <n v="152"/>
    <n v="68.400000000000006"/>
    <n v="83.6"/>
    <n v="0.54999999999999993"/>
    <s v="High"/>
  </r>
  <r>
    <s v="ORD-1139"/>
    <d v="2024-01-19T00:00:00"/>
    <x v="9"/>
    <x v="3"/>
    <x v="6"/>
    <x v="0"/>
    <x v="3"/>
    <x v="22"/>
    <n v="15"/>
    <n v="210"/>
    <n v="3150"/>
    <n v="1890"/>
    <n v="1260"/>
    <n v="0.4"/>
    <s v="High"/>
  </r>
  <r>
    <s v="ORD-1140"/>
    <d v="2024-01-28T00:00:00"/>
    <x v="9"/>
    <x v="3"/>
    <x v="5"/>
    <x v="4"/>
    <x v="1"/>
    <x v="3"/>
    <n v="16"/>
    <n v="175"/>
    <n v="2800"/>
    <n v="1736"/>
    <n v="1064"/>
    <n v="0.38"/>
    <s v="Low"/>
  </r>
  <r>
    <s v="ORD-1141"/>
    <d v="2024-01-26T00:00:00"/>
    <x v="9"/>
    <x v="3"/>
    <x v="0"/>
    <x v="2"/>
    <x v="3"/>
    <x v="10"/>
    <n v="12"/>
    <n v="620"/>
    <n v="7440"/>
    <n v="4464"/>
    <n v="2976"/>
    <n v="0.4"/>
    <s v="High"/>
  </r>
  <r>
    <s v="ORD-1142"/>
    <d v="2024-01-09T00:00:00"/>
    <x v="9"/>
    <x v="3"/>
    <x v="1"/>
    <x v="4"/>
    <x v="3"/>
    <x v="6"/>
    <n v="23"/>
    <n v="290"/>
    <n v="6670"/>
    <n v="4002"/>
    <n v="2668"/>
    <n v="0.4"/>
    <s v="High"/>
  </r>
  <r>
    <s v="ORD-1143"/>
    <d v="2024-01-08T00:00:00"/>
    <x v="9"/>
    <x v="3"/>
    <x v="0"/>
    <x v="3"/>
    <x v="1"/>
    <x v="20"/>
    <n v="3"/>
    <n v="540"/>
    <n v="1620"/>
    <n v="1004.4"/>
    <n v="615.6"/>
    <n v="0.38"/>
    <s v="Low"/>
  </r>
  <r>
    <s v="ORD-1144"/>
    <d v="2024-01-23T00:00:00"/>
    <x v="9"/>
    <x v="3"/>
    <x v="6"/>
    <x v="3"/>
    <x v="4"/>
    <x v="18"/>
    <n v="8"/>
    <n v="14"/>
    <n v="112"/>
    <n v="50.4"/>
    <n v="61.6"/>
    <n v="0.55000000000000004"/>
    <s v="High"/>
  </r>
  <r>
    <s v="ORD-1145"/>
    <d v="2024-01-03T00:00:00"/>
    <x v="9"/>
    <x v="3"/>
    <x v="6"/>
    <x v="2"/>
    <x v="4"/>
    <x v="18"/>
    <n v="1"/>
    <n v="14"/>
    <n v="14"/>
    <n v="6.3"/>
    <n v="7.7"/>
    <n v="0.55000000000000004"/>
    <s v="High"/>
  </r>
  <r>
    <s v="ORD-1146"/>
    <d v="2024-01-10T00:00:00"/>
    <x v="9"/>
    <x v="3"/>
    <x v="2"/>
    <x v="2"/>
    <x v="3"/>
    <x v="10"/>
    <n v="8"/>
    <n v="620"/>
    <n v="4960"/>
    <n v="2976"/>
    <n v="1984"/>
    <n v="0.4"/>
    <s v="High"/>
  </r>
  <r>
    <s v="ORD-1147"/>
    <d v="2024-01-12T00:00:00"/>
    <x v="9"/>
    <x v="3"/>
    <x v="1"/>
    <x v="2"/>
    <x v="1"/>
    <x v="15"/>
    <n v="17"/>
    <n v="280"/>
    <n v="4760"/>
    <n v="2951.2"/>
    <n v="1808.8000000000002"/>
    <n v="0.38000000000000006"/>
    <s v="Low"/>
  </r>
  <r>
    <s v="ORD-1148"/>
    <d v="2024-01-15T00:00:00"/>
    <x v="9"/>
    <x v="3"/>
    <x v="4"/>
    <x v="4"/>
    <x v="4"/>
    <x v="7"/>
    <n v="23"/>
    <n v="19"/>
    <n v="437"/>
    <n v="196.65"/>
    <n v="240.35"/>
    <n v="0.54999999999999993"/>
    <s v="High"/>
  </r>
  <r>
    <s v="ORD-1149"/>
    <d v="2024-01-24T00:00:00"/>
    <x v="9"/>
    <x v="3"/>
    <x v="0"/>
    <x v="4"/>
    <x v="3"/>
    <x v="6"/>
    <n v="4"/>
    <n v="290"/>
    <n v="1160"/>
    <n v="696"/>
    <n v="464"/>
    <n v="0.4"/>
    <s v="High"/>
  </r>
  <r>
    <s v="ORD-1150"/>
    <d v="2024-02-06T00:00:00"/>
    <x v="10"/>
    <x v="3"/>
    <x v="6"/>
    <x v="3"/>
    <x v="3"/>
    <x v="11"/>
    <n v="23"/>
    <n v="380"/>
    <n v="8740"/>
    <n v="5244"/>
    <n v="3496"/>
    <n v="0.4"/>
    <s v="High"/>
  </r>
  <r>
    <s v="ORD-1151"/>
    <d v="2024-02-19T00:00:00"/>
    <x v="10"/>
    <x v="3"/>
    <x v="4"/>
    <x v="2"/>
    <x v="2"/>
    <x v="12"/>
    <n v="24"/>
    <n v="25"/>
    <n v="600"/>
    <n v="300"/>
    <n v="300"/>
    <n v="0.5"/>
    <s v="High"/>
  </r>
  <r>
    <s v="ORD-1152"/>
    <d v="2024-02-10T00:00:00"/>
    <x v="10"/>
    <x v="3"/>
    <x v="5"/>
    <x v="4"/>
    <x v="1"/>
    <x v="23"/>
    <n v="7"/>
    <n v="490"/>
    <n v="3430"/>
    <n v="2126.6"/>
    <n v="1303.4000000000001"/>
    <n v="0.38"/>
    <s v="Low"/>
  </r>
  <r>
    <s v="ORD-1153"/>
    <d v="2024-02-23T00:00:00"/>
    <x v="10"/>
    <x v="3"/>
    <x v="4"/>
    <x v="0"/>
    <x v="2"/>
    <x v="5"/>
    <n v="1"/>
    <n v="35"/>
    <n v="35"/>
    <n v="17.5"/>
    <n v="17.5"/>
    <n v="0.5"/>
    <s v="High"/>
  </r>
  <r>
    <s v="ORD-1154"/>
    <d v="2024-02-18T00:00:00"/>
    <x v="10"/>
    <x v="3"/>
    <x v="5"/>
    <x v="4"/>
    <x v="1"/>
    <x v="13"/>
    <n v="2"/>
    <n v="320"/>
    <n v="640"/>
    <n v="396.8"/>
    <n v="243.2"/>
    <n v="0.38"/>
    <s v="Low"/>
  </r>
  <r>
    <s v="ORD-1155"/>
    <d v="2024-02-19T00:00:00"/>
    <x v="10"/>
    <x v="3"/>
    <x v="5"/>
    <x v="2"/>
    <x v="3"/>
    <x v="10"/>
    <n v="1"/>
    <n v="620"/>
    <n v="620"/>
    <n v="372"/>
    <n v="248"/>
    <n v="0.4"/>
    <s v="High"/>
  </r>
  <r>
    <s v="ORD-1156"/>
    <d v="2024-02-06T00:00:00"/>
    <x v="10"/>
    <x v="3"/>
    <x v="3"/>
    <x v="2"/>
    <x v="3"/>
    <x v="22"/>
    <n v="11"/>
    <n v="210"/>
    <n v="2310"/>
    <n v="1386"/>
    <n v="924"/>
    <n v="0.4"/>
    <s v="High"/>
  </r>
  <r>
    <s v="ORD-1157"/>
    <d v="2024-02-13T00:00:00"/>
    <x v="10"/>
    <x v="3"/>
    <x v="5"/>
    <x v="2"/>
    <x v="0"/>
    <x v="0"/>
    <n v="3"/>
    <n v="85"/>
    <n v="255"/>
    <n v="165.75"/>
    <n v="89.25"/>
    <n v="0.35"/>
    <s v="Low"/>
  </r>
  <r>
    <s v="ORD-1158"/>
    <d v="2024-02-02T00:00:00"/>
    <x v="10"/>
    <x v="3"/>
    <x v="2"/>
    <x v="3"/>
    <x v="4"/>
    <x v="17"/>
    <n v="22"/>
    <n v="22"/>
    <n v="484"/>
    <n v="217.8"/>
    <n v="266.2"/>
    <n v="0.54999999999999993"/>
    <s v="High"/>
  </r>
  <r>
    <s v="ORD-1159"/>
    <d v="2024-02-08T00:00:00"/>
    <x v="10"/>
    <x v="3"/>
    <x v="4"/>
    <x v="3"/>
    <x v="2"/>
    <x v="12"/>
    <n v="3"/>
    <n v="25"/>
    <n v="75"/>
    <n v="37.5"/>
    <n v="37.5"/>
    <n v="0.5"/>
    <s v="High"/>
  </r>
  <r>
    <s v="ORD-1160"/>
    <d v="2024-02-26T00:00:00"/>
    <x v="10"/>
    <x v="3"/>
    <x v="1"/>
    <x v="2"/>
    <x v="0"/>
    <x v="1"/>
    <n v="20"/>
    <n v="120"/>
    <n v="2400"/>
    <n v="1560"/>
    <n v="840"/>
    <n v="0.35"/>
    <s v="Low"/>
  </r>
  <r>
    <s v="ORD-1161"/>
    <d v="2024-02-15T00:00:00"/>
    <x v="10"/>
    <x v="3"/>
    <x v="3"/>
    <x v="3"/>
    <x v="1"/>
    <x v="13"/>
    <n v="15"/>
    <n v="320"/>
    <n v="4800"/>
    <n v="2976"/>
    <n v="1824"/>
    <n v="0.38"/>
    <s v="Low"/>
  </r>
  <r>
    <s v="ORD-1162"/>
    <d v="2024-02-20T00:00:00"/>
    <x v="10"/>
    <x v="3"/>
    <x v="4"/>
    <x v="2"/>
    <x v="3"/>
    <x v="8"/>
    <n v="19"/>
    <n v="175"/>
    <n v="3325"/>
    <n v="1995"/>
    <n v="1330"/>
    <n v="0.4"/>
    <s v="High"/>
  </r>
  <r>
    <s v="ORD-1163"/>
    <d v="2024-03-09T00:00:00"/>
    <x v="11"/>
    <x v="3"/>
    <x v="2"/>
    <x v="0"/>
    <x v="1"/>
    <x v="20"/>
    <n v="7"/>
    <n v="540"/>
    <n v="3780"/>
    <n v="2343.6"/>
    <n v="1436.4"/>
    <n v="0.38"/>
    <s v="Low"/>
  </r>
  <r>
    <s v="ORD-1164"/>
    <d v="2024-03-03T00:00:00"/>
    <x v="11"/>
    <x v="3"/>
    <x v="0"/>
    <x v="0"/>
    <x v="0"/>
    <x v="4"/>
    <n v="18"/>
    <n v="320"/>
    <n v="5760"/>
    <n v="3744"/>
    <n v="2016"/>
    <n v="0.35"/>
    <s v="Low"/>
  </r>
  <r>
    <s v="ORD-1165"/>
    <d v="2024-03-20T00:00:00"/>
    <x v="11"/>
    <x v="3"/>
    <x v="3"/>
    <x v="2"/>
    <x v="2"/>
    <x v="21"/>
    <n v="23"/>
    <n v="18"/>
    <n v="414"/>
    <n v="207"/>
    <n v="207"/>
    <n v="0.5"/>
    <s v="High"/>
  </r>
  <r>
    <s v="ORD-1166"/>
    <d v="2024-03-23T00:00:00"/>
    <x v="11"/>
    <x v="3"/>
    <x v="0"/>
    <x v="1"/>
    <x v="4"/>
    <x v="19"/>
    <n v="10"/>
    <n v="28"/>
    <n v="280"/>
    <n v="126"/>
    <n v="154"/>
    <n v="0.55000000000000004"/>
    <s v="High"/>
  </r>
  <r>
    <s v="ORD-1167"/>
    <d v="2024-03-09T00:00:00"/>
    <x v="11"/>
    <x v="3"/>
    <x v="2"/>
    <x v="1"/>
    <x v="3"/>
    <x v="22"/>
    <n v="8"/>
    <n v="210"/>
    <n v="1680"/>
    <n v="1008"/>
    <n v="672"/>
    <n v="0.4"/>
    <s v="High"/>
  </r>
  <r>
    <s v="ORD-1168"/>
    <d v="2024-03-08T00:00:00"/>
    <x v="11"/>
    <x v="3"/>
    <x v="5"/>
    <x v="2"/>
    <x v="1"/>
    <x v="13"/>
    <n v="18"/>
    <n v="320"/>
    <n v="5760"/>
    <n v="3571.2"/>
    <n v="2188.8000000000002"/>
    <n v="0.38"/>
    <s v="Low"/>
  </r>
  <r>
    <s v="ORD-1169"/>
    <d v="2024-03-06T00:00:00"/>
    <x v="11"/>
    <x v="3"/>
    <x v="5"/>
    <x v="0"/>
    <x v="2"/>
    <x v="5"/>
    <n v="2"/>
    <n v="35"/>
    <n v="70"/>
    <n v="35"/>
    <n v="35"/>
    <n v="0.5"/>
    <s v="High"/>
  </r>
  <r>
    <s v="ORD-1170"/>
    <d v="2024-03-04T00:00:00"/>
    <x v="11"/>
    <x v="3"/>
    <x v="4"/>
    <x v="3"/>
    <x v="3"/>
    <x v="8"/>
    <n v="15"/>
    <n v="175"/>
    <n v="2625"/>
    <n v="1575"/>
    <n v="1050"/>
    <n v="0.4"/>
    <s v="High"/>
  </r>
  <r>
    <s v="ORD-1171"/>
    <d v="2024-03-18T00:00:00"/>
    <x v="11"/>
    <x v="3"/>
    <x v="4"/>
    <x v="2"/>
    <x v="4"/>
    <x v="19"/>
    <n v="17"/>
    <n v="28"/>
    <n v="476"/>
    <n v="214.2"/>
    <n v="261.8"/>
    <n v="0.55000000000000004"/>
    <s v="High"/>
  </r>
  <r>
    <s v="ORD-1172"/>
    <d v="2024-03-14T00:00:00"/>
    <x v="11"/>
    <x v="3"/>
    <x v="1"/>
    <x v="1"/>
    <x v="4"/>
    <x v="18"/>
    <n v="2"/>
    <n v="14"/>
    <n v="28"/>
    <n v="12.6"/>
    <n v="15.4"/>
    <n v="0.55000000000000004"/>
    <s v="Hig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280995-F19D-423A-B3A4-0D44F4351B35}"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D3:I10" firstHeaderRow="1" firstDataRow="2" firstDataCol="1"/>
  <pivotFields count="15">
    <pivotField compact="0" outline="0" showAll="0"/>
    <pivotField compact="0" numFmtId="164" outline="0" showAll="0"/>
    <pivotField compact="0" outline="0" showAll="0">
      <items count="13">
        <item x="0"/>
        <item x="4"/>
        <item x="8"/>
        <item x="10"/>
        <item x="9"/>
        <item x="3"/>
        <item x="2"/>
        <item x="11"/>
        <item x="1"/>
        <item x="7"/>
        <item x="6"/>
        <item x="5"/>
        <item t="default"/>
      </items>
    </pivotField>
    <pivotField axis="axisCol" compact="0" outline="0" showAll="0">
      <items count="5">
        <item x="1"/>
        <item x="2"/>
        <item x="3"/>
        <item x="0"/>
        <item t="default"/>
      </items>
    </pivotField>
    <pivotField compact="0" outline="0" showAll="0"/>
    <pivotField axis="axisRow" compact="0" outline="0" showAll="0">
      <items count="6">
        <item x="4"/>
        <item x="0"/>
        <item x="2"/>
        <item x="3"/>
        <item x="1"/>
        <item t="default"/>
      </items>
    </pivotField>
    <pivotField compact="0" outline="0" showAll="0"/>
    <pivotField compact="0" outline="0" showAll="0"/>
    <pivotField compact="0" outline="0" showAll="0"/>
    <pivotField compact="0" numFmtId="165" outline="0" showAll="0"/>
    <pivotField compact="0" numFmtId="165" outline="0" showAll="0"/>
    <pivotField compact="0" numFmtId="165" outline="0" showAll="0"/>
    <pivotField dataField="1" compact="0" numFmtId="165" outline="0" showAll="0"/>
    <pivotField compact="0" numFmtId="9" outline="0" showAll="0"/>
    <pivotField compact="0" outline="0" showAll="0"/>
  </pivotFields>
  <rowFields count="1">
    <field x="5"/>
  </rowFields>
  <rowItems count="6">
    <i>
      <x/>
    </i>
    <i>
      <x v="1"/>
    </i>
    <i>
      <x v="2"/>
    </i>
    <i>
      <x v="3"/>
    </i>
    <i>
      <x v="4"/>
    </i>
    <i t="grand">
      <x/>
    </i>
  </rowItems>
  <colFields count="1">
    <field x="3"/>
  </colFields>
  <colItems count="5">
    <i>
      <x/>
    </i>
    <i>
      <x v="1"/>
    </i>
    <i>
      <x v="2"/>
    </i>
    <i>
      <x v="3"/>
    </i>
    <i t="grand">
      <x/>
    </i>
  </colItems>
  <dataFields count="1">
    <dataField name="Profit by Region &amp; Quarter" fld="12" baseField="5" baseItem="1" numFmtId="165"/>
  </dataField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F9D9E5-A49F-4AD1-89F3-D62D83510A1E}"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B17" firstHeaderRow="2" firstDataRow="2" firstDataCol="1"/>
  <pivotFields count="15">
    <pivotField compact="0" outline="0" showAll="0"/>
    <pivotField compact="0" numFmtId="164" outline="0" showAll="0"/>
    <pivotField axis="axisRow" compact="0" outline="0" showAll="0">
      <items count="13">
        <item x="0"/>
        <item x="1"/>
        <item x="2"/>
        <item x="3"/>
        <item x="4"/>
        <item x="5"/>
        <item x="6"/>
        <item x="7"/>
        <item x="8"/>
        <item x="9"/>
        <item x="10"/>
        <item x="11"/>
        <item t="default"/>
      </items>
    </pivotField>
    <pivotField compact="0" outline="0" showAll="0">
      <items count="5">
        <item x="1"/>
        <item x="2"/>
        <item x="3"/>
        <item x="0"/>
        <item t="default"/>
      </items>
    </pivotField>
    <pivotField compact="0" outline="0" showAll="0"/>
    <pivotField compact="0" outline="0" showAll="0">
      <items count="6">
        <item x="4"/>
        <item x="0"/>
        <item x="2"/>
        <item x="3"/>
        <item x="1"/>
        <item t="default"/>
      </items>
    </pivotField>
    <pivotField compact="0" outline="0" showAll="0"/>
    <pivotField compact="0" outline="0" showAll="0"/>
    <pivotField compact="0" outline="0" showAll="0"/>
    <pivotField compact="0" numFmtId="165" outline="0" showAll="0"/>
    <pivotField dataField="1" compact="0" numFmtId="165" outline="0" showAll="0"/>
    <pivotField compact="0" numFmtId="165" outline="0" showAll="0"/>
    <pivotField compact="0" numFmtId="165" outline="0" showAll="0"/>
    <pivotField compact="0" numFmtId="9" outline="0" showAll="0"/>
    <pivotField compact="0" outline="0" showAll="0"/>
  </pivotFields>
  <rowFields count="1">
    <field x="2"/>
  </rowFields>
  <rowItems count="13">
    <i>
      <x/>
    </i>
    <i>
      <x v="1"/>
    </i>
    <i>
      <x v="2"/>
    </i>
    <i>
      <x v="3"/>
    </i>
    <i>
      <x v="4"/>
    </i>
    <i>
      <x v="5"/>
    </i>
    <i>
      <x v="6"/>
    </i>
    <i>
      <x v="7"/>
    </i>
    <i>
      <x v="8"/>
    </i>
    <i>
      <x v="9"/>
    </i>
    <i>
      <x v="10"/>
    </i>
    <i>
      <x v="11"/>
    </i>
    <i t="grand">
      <x/>
    </i>
  </rowItems>
  <colItems count="1">
    <i/>
  </colItems>
  <dataFields count="1">
    <dataField name="Monthly Revenue Trend" fld="10" baseField="0" baseItem="0" numFmtId="165"/>
  </dataField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97378F-C17A-4849-A656-FC1B35C50C4D}" name="PivotTable8" cacheId="0" applyNumberFormats="0" applyBorderFormats="0" applyFontFormats="0" applyPatternFormats="0" applyAlignmentFormats="0" applyWidthHeightFormats="1" dataCaption="Salesperson Performance Summary" updatedVersion="8" minRefreshableVersion="3" useAutoFormatting="1" itemPrintTitles="1" createdVersion="8" indent="0" compact="0" compactData="0" gridDropZones="1" multipleFieldFilters="0">
  <location ref="D13:G22" firstHeaderRow="1" firstDataRow="2" firstDataCol="1"/>
  <pivotFields count="15">
    <pivotField compact="0" outline="0" showAll="0"/>
    <pivotField compact="0" numFmtId="164" outline="0" showAll="0"/>
    <pivotField compact="0" outline="0" showAll="0">
      <items count="13">
        <item x="0"/>
        <item x="4"/>
        <item x="8"/>
        <item x="10"/>
        <item x="9"/>
        <item x="3"/>
        <item x="2"/>
        <item x="11"/>
        <item x="1"/>
        <item x="7"/>
        <item x="6"/>
        <item x="5"/>
        <item t="default"/>
      </items>
    </pivotField>
    <pivotField compact="0" outline="0" showAll="0">
      <items count="5">
        <item x="1"/>
        <item x="2"/>
        <item x="3"/>
        <item x="0"/>
        <item t="default"/>
      </items>
    </pivotField>
    <pivotField axis="axisRow" compact="0" outline="0" showAll="0">
      <items count="8">
        <item x="5"/>
        <item x="0"/>
        <item x="4"/>
        <item x="6"/>
        <item x="1"/>
        <item x="2"/>
        <item x="3"/>
        <item t="default"/>
      </items>
    </pivotField>
    <pivotField compact="0" outline="0" showAll="0">
      <items count="6">
        <item x="4"/>
        <item x="0"/>
        <item x="2"/>
        <item x="3"/>
        <item x="1"/>
        <item t="default"/>
      </items>
    </pivotField>
    <pivotField compact="0" outline="0" showAll="0"/>
    <pivotField compact="0" outline="0" showAll="0">
      <items count="26">
        <item x="21"/>
        <item x="14"/>
        <item x="22"/>
        <item x="18"/>
        <item x="4"/>
        <item x="15"/>
        <item x="6"/>
        <item x="19"/>
        <item x="2"/>
        <item x="0"/>
        <item x="24"/>
        <item x="20"/>
        <item x="17"/>
        <item x="11"/>
        <item x="5"/>
        <item x="23"/>
        <item x="3"/>
        <item x="7"/>
        <item x="10"/>
        <item x="12"/>
        <item x="16"/>
        <item x="9"/>
        <item x="1"/>
        <item x="8"/>
        <item x="13"/>
        <item t="default"/>
      </items>
    </pivotField>
    <pivotField compact="0" outline="0" showAll="0"/>
    <pivotField compact="0" numFmtId="165" outline="0" showAll="0"/>
    <pivotField dataField="1" compact="0" numFmtId="165" outline="0" showAll="0"/>
    <pivotField dataField="1" compact="0" numFmtId="165" outline="0" showAll="0"/>
    <pivotField compact="0" numFmtId="165" outline="0" showAll="0"/>
    <pivotField dataField="1" compact="0" numFmtId="9" outline="0" showAll="0"/>
    <pivotField compact="0" outline="0" showAll="0"/>
  </pivotFields>
  <rowFields count="1">
    <field x="4"/>
  </rowFields>
  <rowItems count="8">
    <i>
      <x/>
    </i>
    <i>
      <x v="1"/>
    </i>
    <i>
      <x v="2"/>
    </i>
    <i>
      <x v="3"/>
    </i>
    <i>
      <x v="4"/>
    </i>
    <i>
      <x v="5"/>
    </i>
    <i>
      <x v="6"/>
    </i>
    <i t="grand">
      <x/>
    </i>
  </rowItems>
  <colFields count="1">
    <field x="-2"/>
  </colFields>
  <colItems count="3">
    <i>
      <x/>
    </i>
    <i i="1">
      <x v="1"/>
    </i>
    <i i="2">
      <x v="2"/>
    </i>
  </colItems>
  <dataFields count="3">
    <dataField name="Sum of Cost_SAR" fld="11" baseField="0" baseItem="0" numFmtId="165"/>
    <dataField name="Sum of Total_Revenue_SAR" fld="10" baseField="0" baseItem="0" numFmtId="165"/>
    <dataField name="Average of profit_Margine%" fld="13" subtotal="average" baseField="4" baseItem="0" numFmtId="167"/>
  </dataField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74BEE9-92C2-412B-9163-2B2AF4979046}"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20:B27" firstHeaderRow="2" firstDataRow="2" firstDataCol="1"/>
  <pivotFields count="15">
    <pivotField compact="0" outline="0" showAll="0"/>
    <pivotField compact="0" numFmtId="164" outline="0" showAll="0"/>
    <pivotField compact="0" outline="0" showAll="0">
      <items count="13">
        <item x="0"/>
        <item x="4"/>
        <item x="8"/>
        <item x="10"/>
        <item x="9"/>
        <item x="3"/>
        <item x="2"/>
        <item x="11"/>
        <item x="1"/>
        <item x="7"/>
        <item x="6"/>
        <item x="5"/>
        <item t="default"/>
      </items>
    </pivotField>
    <pivotField compact="0" outline="0" showAll="0">
      <items count="5">
        <item x="1"/>
        <item x="2"/>
        <item x="3"/>
        <item x="0"/>
        <item t="default"/>
      </items>
    </pivotField>
    <pivotField compact="0" outline="0" showAll="0"/>
    <pivotField compact="0" outline="0" showAll="0">
      <items count="6">
        <item x="4"/>
        <item x="0"/>
        <item x="2"/>
        <item x="3"/>
        <item x="1"/>
        <item t="default"/>
      </items>
    </pivotField>
    <pivotField compact="0" outline="0" showAll="0"/>
    <pivotField axis="axisRow" compact="0" outline="0" showAll="0" measureFilter="1" sortType="descending">
      <items count="26">
        <item x="21"/>
        <item x="14"/>
        <item x="22"/>
        <item x="18"/>
        <item x="4"/>
        <item x="15"/>
        <item x="6"/>
        <item x="19"/>
        <item x="2"/>
        <item x="0"/>
        <item x="24"/>
        <item x="20"/>
        <item x="17"/>
        <item x="11"/>
        <item x="5"/>
        <item x="23"/>
        <item x="3"/>
        <item x="7"/>
        <item x="10"/>
        <item x="12"/>
        <item x="16"/>
        <item x="9"/>
        <item x="1"/>
        <item x="8"/>
        <item x="13"/>
        <item t="default"/>
      </items>
      <autoSortScope>
        <pivotArea dataOnly="0" outline="0" fieldPosition="0">
          <references count="1">
            <reference field="4294967294" count="1" selected="0">
              <x v="0"/>
            </reference>
          </references>
        </pivotArea>
      </autoSortScope>
    </pivotField>
    <pivotField dataField="1" compact="0" outline="0" showAll="0"/>
    <pivotField compact="0" numFmtId="165" outline="0" showAll="0"/>
    <pivotField compact="0" numFmtId="165" outline="0" showAll="0"/>
    <pivotField compact="0" numFmtId="165" outline="0" showAll="0"/>
    <pivotField compact="0" numFmtId="165" outline="0" showAll="0"/>
    <pivotField compact="0" numFmtId="9" outline="0" showAll="0"/>
    <pivotField compact="0" outline="0" showAll="0"/>
  </pivotFields>
  <rowFields count="1">
    <field x="7"/>
  </rowFields>
  <rowItems count="6">
    <i>
      <x v="22"/>
    </i>
    <i>
      <x v="23"/>
    </i>
    <i>
      <x v="9"/>
    </i>
    <i>
      <x v="3"/>
    </i>
    <i>
      <x v="24"/>
    </i>
    <i t="grand">
      <x/>
    </i>
  </rowItems>
  <colItems count="1">
    <i/>
  </colItems>
  <dataFields count="1">
    <dataField name="Top 5 Products by Units Sold" fld="8" baseField="0" baseItem="0"/>
  </dataFields>
  <pivotTableStyleInfo name="PivotStyleMedium11"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F7C3CF-27BC-40AF-8C91-BCCBBAC80C31}" name="PivotTable10" cacheId="1" applyNumberFormats="0" applyBorderFormats="0" applyFontFormats="0" applyPatternFormats="0" applyAlignmentFormats="0" applyWidthHeightFormats="1" dataCaption="Moth by Target and Actual SAR" updatedVersion="8" minRefreshableVersion="3" useAutoFormatting="1" itemPrintTitles="1" createdVersion="8" indent="0" compact="0" compactData="0" gridDropZones="1" multipleFieldFilters="0" chartFormat="4">
  <location ref="E3:F10" firstHeaderRow="2" firstDataRow="2" firstDataCol="1"/>
  <pivotFields count="3">
    <pivotField compact="0" allDrilled="1" outline="0" subtotalTop="0" showAll="0" defaultAttributeDrillState="1">
      <items count="13">
        <item s="1" x="0"/>
        <item s="1" x="8"/>
        <item s="1" x="6"/>
        <item s="1" x="5"/>
        <item s="1" x="11"/>
        <item s="1" x="1"/>
        <item s="1" x="10"/>
        <item s="1" x="9"/>
        <item s="1" x="2"/>
        <item s="1" x="4"/>
        <item s="1" x="3"/>
        <item s="1" x="7"/>
        <item t="default"/>
      </items>
    </pivotField>
    <pivotField axis="axisRow" compact="0" allDrilled="1" outline="0" subtotalTop="0" showAll="0"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compact="0" outline="0" subtotalTop="0" showAll="0"/>
  </pivotFields>
  <rowFields count="1">
    <field x="1"/>
  </rowFields>
  <rowItems count="6">
    <i>
      <x v="2"/>
    </i>
    <i>
      <x v="3"/>
    </i>
    <i>
      <x v="1"/>
    </i>
    <i>
      <x/>
    </i>
    <i>
      <x v="4"/>
    </i>
    <i t="grand">
      <x/>
    </i>
  </rowItems>
  <colItems count="1">
    <i/>
  </colItems>
  <dataFields count="1">
    <dataField name="Revenue by Region" fld="2" baseField="1" baseItem="2"/>
  </dataFields>
  <chartFormats count="1">
    <chartFormat chart="3"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arget_SAR"/>
    <pivotHierarchy dragToData="1" caption=" Actual_SAR"/>
    <pivotHierarchy dragToData="1" caption="Revenue by Region"/>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A1E3FD-B27B-4E52-920C-B2B84764DD40}" name="PivotTable8" cacheId="5" applyNumberFormats="0" applyBorderFormats="0" applyFontFormats="0" applyPatternFormats="0" applyAlignmentFormats="0" applyWidthHeightFormats="1" dataCaption="Moth by Target and Actual SAR" tag="c74a759d-fb36-4106-9ff1-310ae1899441" updatedVersion="8" minRefreshableVersion="3" useAutoFormatting="1" subtotalHiddenItems="1" itemPrintTitles="1" createdVersion="8" indent="0" compact="0" compactData="0" gridDropZones="1" multipleFieldFilters="0" chartFormat="6">
  <location ref="A3:C17" firstHeaderRow="1" firstDataRow="2" firstDataCol="1"/>
  <pivotFields count="4">
    <pivotField axis="axisRow" compact="0" allDrilled="1" outline="0" subtotalTop="0" showAll="0" defaultAttributeDrillState="1">
      <items count="13">
        <item s="1" x="0"/>
        <item s="1" x="8"/>
        <item s="1" x="6"/>
        <item s="1" x="5"/>
        <item s="1" x="11"/>
        <item s="1" x="1"/>
        <item s="1" x="10"/>
        <item s="1" x="9"/>
        <item s="1" x="2"/>
        <item s="1" x="4"/>
        <item s="1" x="3"/>
        <item s="1" x="7"/>
        <item t="default"/>
      </items>
    </pivotField>
    <pivotField dataField="1" compact="0" outline="0" subtotalTop="0" showAll="0"/>
    <pivotField dataField="1" compact="0" outline="0" subtotalTop="0" showAll="0"/>
    <pivotField compact="0" allDrilled="1" outline="0" subtotalTop="0" showAll="0" dataSourceSort="1"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Target_SAR" fld="1" baseField="0" baseItem="0"/>
    <dataField name=" Actual_SAR" fld="2"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arget_SAR"/>
    <pivotHierarchy dragToData="1" caption=" Actual_SAR"/>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EBF1D9-6528-4CB4-9636-3A2A18353E5D}" name="PivotTable16" cacheId="4" applyNumberFormats="0" applyBorderFormats="0" applyFontFormats="0" applyPatternFormats="0" applyAlignmentFormats="0" applyWidthHeightFormats="1" dataCaption="Moth by Target and Actual SAR" tag="0925d802-42c5-4626-87da-404480c6f36b" updatedVersion="8" minRefreshableVersion="3" useAutoFormatting="1" itemPrintTitles="1" createdVersion="8" indent="0" compact="0" compactData="0" gridDropZones="1" multipleFieldFilters="0" chartFormat="5">
  <location ref="H13:I20" firstHeaderRow="2" firstDataRow="2" firstDataCol="1"/>
  <pivotFields count="5">
    <pivotField compact="0" allDrilled="1" outline="0" subtotalTop="0" showAll="0" defaultAttributeDrillState="1">
      <items count="13">
        <item s="1" x="0"/>
        <item s="1" x="8"/>
        <item s="1" x="6"/>
        <item s="1" x="5"/>
        <item s="1" x="11"/>
        <item s="1" x="1"/>
        <item s="1" x="10"/>
        <item s="1" x="9"/>
        <item s="1" x="2"/>
        <item s="1" x="4"/>
        <item s="1" x="3"/>
        <item s="1" x="7"/>
        <item t="default"/>
      </items>
    </pivotField>
    <pivotField compact="0" allDrilled="1" outline="0" subtotalTop="0" showAll="0" measureFilter="1" dataSourceSort="1" defaultAttributeDrillState="1">
      <items count="6">
        <item x="0"/>
        <item x="1"/>
        <item x="2"/>
        <item x="3"/>
        <item x="4"/>
        <item t="default"/>
      </items>
    </pivotField>
    <pivotField axis="axisRow" compact="0" allDrilled="1" outline="0" subtotalTop="0" showAll="0" measureFilter="1"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compact="0" outline="0" subtotalTop="0" showAll="0"/>
    <pivotField compact="0" allDrilled="1" outline="0" subtotalTop="0" showAll="0" dataSourceSort="1" defaultAttributeDrillState="1"/>
  </pivotFields>
  <rowFields count="1">
    <field x="2"/>
  </rowFields>
  <rowItems count="6">
    <i>
      <x/>
    </i>
    <i>
      <x v="2"/>
    </i>
    <i>
      <x v="1"/>
    </i>
    <i>
      <x v="3"/>
    </i>
    <i>
      <x v="4"/>
    </i>
    <i t="grand">
      <x/>
    </i>
  </rowItems>
  <colItems count="1">
    <i/>
  </colItems>
  <dataFields count="1">
    <dataField name="Top5 salesperson" fld="3" baseField="2"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arget_SAR"/>
    <pivotHierarchy dragToData="1" caption=" Actual_SAR"/>
    <pivotHierarchy dragToData="1" caption="Top5 salesperson"/>
    <pivotHierarchy dragToData="1" caption="Top5 products "/>
    <pivotHierarchy dragToData="1"/>
    <pivotHierarchy dragToData="1"/>
    <pivotHierarchy dragToData="1"/>
    <pivotHierarchy dragToData="1" caption="Profit_by_Quarter"/>
  </pivotHierarchies>
  <pivotTableStyleInfo name="PivotStyleLight16" showRowHeaders="1" showColHeaders="1" showRowStripes="0" showColStripes="0" showLastColumn="1"/>
  <filters count="2">
    <filter fld="1" type="count" id="1" iMeasureHier="27">
      <autoFilter ref="A1">
        <filterColumn colId="0">
          <top10 val="5" filterVal="5"/>
        </filterColumn>
      </autoFilter>
    </filter>
    <filter fld="2" type="count" id="2" iMeasureHier="26">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BA074E-27E9-4E2E-B02F-35CEA4E20DFB}" name="PivotTable15" cacheId="3" applyNumberFormats="0" applyBorderFormats="0" applyFontFormats="0" applyPatternFormats="0" applyAlignmentFormats="0" applyWidthHeightFormats="1" dataCaption="Moth by Target and Actual SAR" updatedVersion="8" minRefreshableVersion="3" useAutoFormatting="1" itemPrintTitles="1" createdVersion="8" indent="0" compact="0" compactData="0" gridDropZones="1" multipleFieldFilters="0" chartFormat="5">
  <location ref="E13:F19" firstHeaderRow="2" firstDataRow="2" firstDataCol="1"/>
  <pivotFields count="5">
    <pivotField compact="0" allDrilled="1" outline="0" subtotalTop="0" showAll="0" defaultAttributeDrillState="1">
      <items count="13">
        <item s="1" x="0"/>
        <item s="1" x="8"/>
        <item s="1" x="6"/>
        <item s="1" x="5"/>
        <item s="1" x="11"/>
        <item s="1" x="1"/>
        <item s="1" x="10"/>
        <item s="1" x="9"/>
        <item s="1" x="2"/>
        <item s="1" x="4"/>
        <item s="1" x="3"/>
        <item s="1" x="7"/>
        <item t="default"/>
      </items>
    </pivotField>
    <pivotField compact="0" allDrilled="1" outline="0" subtotalTop="0" showAll="0" measureFilter="1" dataSourceSort="1" defaultAttributeDrillState="1">
      <items count="6">
        <item x="0"/>
        <item x="1"/>
        <item x="2"/>
        <item x="3"/>
        <item x="4"/>
        <item t="default"/>
      </items>
    </pivotField>
    <pivotField dataField="1" compact="0" outline="0" subtotalTop="0" showAll="0"/>
    <pivotField axis="axisRow" compact="0" allDrilled="1" outline="0" subtotalTop="0" showAll="0" dataSourceSort="1" defaultAttributeDrillState="1">
      <items count="5">
        <item x="0"/>
        <item x="1"/>
        <item x="2"/>
        <item x="3"/>
        <item t="default"/>
      </items>
    </pivotField>
    <pivotField compact="0" allDrilled="1" outline="0" subtotalTop="0" showAll="0" dataSourceSort="1" defaultAttributeDrillState="1"/>
  </pivotFields>
  <rowFields count="1">
    <field x="3"/>
  </rowFields>
  <rowItems count="5">
    <i>
      <x/>
    </i>
    <i>
      <x v="1"/>
    </i>
    <i>
      <x v="2"/>
    </i>
    <i>
      <x v="3"/>
    </i>
    <i t="grand">
      <x/>
    </i>
  </rowItems>
  <colItems count="1">
    <i/>
  </colItems>
  <dataFields count="1">
    <dataField name="Profit_by_Quarter" fld="2" baseField="3"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arget_SAR"/>
    <pivotHierarchy dragToData="1" caption=" Actual_SAR"/>
    <pivotHierarchy dragToData="1" caption="Profit_by_quarter"/>
    <pivotHierarchy dragToData="1" caption="Top5 products "/>
    <pivotHierarchy dragToData="1"/>
    <pivotHierarchy dragToData="1"/>
    <pivotHierarchy dragToData="1"/>
    <pivotHierarchy dragToData="1" caption="Profit_by_Quarter"/>
  </pivotHierarchies>
  <pivotTableStyleInfo name="PivotStyleLight16" showRowHeaders="1" showColHeaders="1" showRowStripes="0" showColStripes="0" showLastColumn="1"/>
  <filters count="1">
    <filter fld="1" type="count" id="1" iMeasureHier="27">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6F1F393-B417-4989-98C5-4134A651F941}" name="PivotTable12" cacheId="2" applyNumberFormats="0" applyBorderFormats="0" applyFontFormats="0" applyPatternFormats="0" applyAlignmentFormats="0" applyWidthHeightFormats="1" dataCaption="Moth by Target and Actual SAR" updatedVersion="8" minRefreshableVersion="3" useAutoFormatting="1" itemPrintTitles="1" createdVersion="8" indent="0" compact="0" compactData="0" gridDropZones="1" multipleFieldFilters="0" chartFormat="4">
  <location ref="H3:I10" firstHeaderRow="2" firstDataRow="2" firstDataCol="1"/>
  <pivotFields count="5">
    <pivotField compact="0" allDrilled="1" outline="0" subtotalTop="0" showAll="0" defaultAttributeDrillState="1">
      <items count="13">
        <item s="1" x="0"/>
        <item s="1" x="8"/>
        <item s="1" x="6"/>
        <item s="1" x="5"/>
        <item s="1" x="11"/>
        <item s="1" x="1"/>
        <item s="1" x="10"/>
        <item s="1" x="9"/>
        <item s="1" x="2"/>
        <item s="1" x="4"/>
        <item s="1" x="3"/>
        <item s="1" x="7"/>
        <item t="default"/>
      </items>
    </pivotField>
    <pivotField compact="0" allDrilled="1" outline="0" subtotalTop="0" showAll="0" measureFilter="1" dataSourceSort="1" defaultAttributeDrillState="1">
      <items count="6">
        <item x="0"/>
        <item x="1"/>
        <item x="2"/>
        <item x="3"/>
        <item x="4"/>
        <item t="default"/>
      </items>
    </pivotField>
    <pivotField dataField="1" compact="0" outline="0" subtotalTop="0" showAll="0"/>
    <pivotField axis="axisRow" compact="0" allDrilled="1" outline="0" subtotalTop="0" showAll="0" dataSourceSort="1" defaultAttributeDrillState="1">
      <items count="6">
        <item x="0"/>
        <item x="1"/>
        <item x="2"/>
        <item x="3"/>
        <item x="4"/>
        <item t="default"/>
      </items>
    </pivotField>
    <pivotField compact="0" allDrilled="1" outline="0" subtotalTop="0" showAll="0" dataSourceSort="1" defaultAttributeDrillState="1"/>
  </pivotFields>
  <rowFields count="1">
    <field x="3"/>
  </rowFields>
  <rowItems count="6">
    <i>
      <x/>
    </i>
    <i>
      <x v="1"/>
    </i>
    <i>
      <x v="2"/>
    </i>
    <i>
      <x v="3"/>
    </i>
    <i>
      <x v="4"/>
    </i>
    <i t="grand">
      <x/>
    </i>
  </rowItems>
  <colItems count="1">
    <i/>
  </colItems>
  <dataFields count="1">
    <dataField name="%revenue by category" fld="2" showDataAs="percentOfTotal" baseField="3" baseItem="0" numFmtId="167"/>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2"/>
          </reference>
        </references>
      </pivotArea>
    </chartFormat>
    <chartFormat chart="0" format="2">
      <pivotArea type="data" outline="0" fieldPosition="0">
        <references count="2">
          <reference field="4294967294" count="1" selected="0">
            <x v="0"/>
          </reference>
          <reference field="3" count="1" selected="0">
            <x v="4"/>
          </reference>
        </references>
      </pivotArea>
    </chartFormat>
    <chartFormat chart="0" format="3">
      <pivotArea type="data" outline="0" fieldPosition="0">
        <references count="2">
          <reference field="4294967294" count="1" selected="0">
            <x v="0"/>
          </reference>
          <reference field="3" count="1" selected="0">
            <x v="3"/>
          </reference>
        </references>
      </pivotArea>
    </chartFormat>
    <chartFormat chart="0" format="4">
      <pivotArea type="data" outline="0" fieldPosition="0">
        <references count="2">
          <reference field="4294967294" count="1" selected="0">
            <x v="0"/>
          </reference>
          <reference field="3" count="1" selected="0">
            <x v="1"/>
          </reference>
        </references>
      </pivotArea>
    </chartFormat>
    <chartFormat chart="0" format="5">
      <pivotArea type="data" outline="0" fieldPosition="0">
        <references count="2">
          <reference field="4294967294" count="1" selected="0">
            <x v="0"/>
          </reference>
          <reference field="3" count="1" selected="0">
            <x v="0"/>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3" count="1" selected="0">
            <x v="0"/>
          </reference>
        </references>
      </pivotArea>
    </chartFormat>
    <chartFormat chart="3" format="14">
      <pivotArea type="data" outline="0" fieldPosition="0">
        <references count="2">
          <reference field="4294967294" count="1" selected="0">
            <x v="0"/>
          </reference>
          <reference field="3" count="1" selected="0">
            <x v="1"/>
          </reference>
        </references>
      </pivotArea>
    </chartFormat>
    <chartFormat chart="3" format="15">
      <pivotArea type="data" outline="0" fieldPosition="0">
        <references count="2">
          <reference field="4294967294" count="1" selected="0">
            <x v="0"/>
          </reference>
          <reference field="3" count="1" selected="0">
            <x v="2"/>
          </reference>
        </references>
      </pivotArea>
    </chartFormat>
    <chartFormat chart="3" format="16">
      <pivotArea type="data" outline="0" fieldPosition="0">
        <references count="2">
          <reference field="4294967294" count="1" selected="0">
            <x v="0"/>
          </reference>
          <reference field="3" count="1" selected="0">
            <x v="3"/>
          </reference>
        </references>
      </pivotArea>
    </chartFormat>
    <chartFormat chart="3" format="17">
      <pivotArea type="data" outline="0" fieldPosition="0">
        <references count="2">
          <reference field="4294967294" count="1" selected="0">
            <x v="0"/>
          </reference>
          <reference field="3" count="1" selected="0">
            <x v="4"/>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arget_SAR"/>
    <pivotHierarchy dragToData="1" caption=" Actual_SAR"/>
    <pivotHierarchy dragToData="1" caption="Revenue by Region"/>
    <pivotHierarchy dragToData="1" caption="Top5 products "/>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7">
      <autoFilter ref="A1">
        <filterColumn colId="0">
          <top10 val="5" filterVal="5"/>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2FEE1A7-6AE1-4DF6-A48A-541B7B479027}" sourceName="[Table2].[Region]">
  <pivotTables>
    <pivotTable tabId="13" name="PivotTable10"/>
    <pivotTable tabId="13" name="PivotTable12"/>
    <pivotTable tabId="13" name="PivotTable15"/>
    <pivotTable tabId="13" name="PivotTable16"/>
    <pivotTable tabId="13" name="PivotTable8"/>
  </pivotTables>
  <data>
    <olap pivotCacheId="1557258576">
      <levels count="2">
        <level uniqueName="[Table2].[Region].[(All)]" sourceCaption="(All)" count="0"/>
        <level uniqueName="[Table2].[Region].[Region]" sourceCaption="Region" count="5">
          <ranges>
            <range startItem="0">
              <i n="[Table2].[Region].&amp;[Dammam]" c="Dammam"/>
              <i n="[Table2].[Region].&amp;[Jeddah]" c="Jeddah"/>
              <i n="[Table2].[Region].&amp;[Mecca]" c="Mecca"/>
              <i n="[Table2].[Region].&amp;[Medina]" c="Medina"/>
              <i n="[Table2].[Region].&amp;[Riyadh]" c="Riyadh"/>
            </range>
          </ranges>
        </level>
      </levels>
      <selections count="1">
        <selection n="[Table2].[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F73EA314-824F-4407-9D0C-12C57D2BA3EF}" sourceName="[Table2].[Quarter]">
  <pivotTables>
    <pivotTable tabId="13" name="PivotTable10"/>
    <pivotTable tabId="13" name="PivotTable12"/>
    <pivotTable tabId="13" name="PivotTable15"/>
    <pivotTable tabId="13" name="PivotTable16"/>
    <pivotTable tabId="13" name="PivotTable8"/>
  </pivotTables>
  <data>
    <olap pivotCacheId="1557258576">
      <levels count="2">
        <level uniqueName="[Table2].[Quarter].[(All)]" sourceCaption="(All)" count="0"/>
        <level uniqueName="[Table2].[Quarter].[Quarter]" sourceCaption="Quarter" count="4">
          <ranges>
            <range startItem="0">
              <i n="[Table2].[Quarter].&amp;[Q1]" c="Q1"/>
              <i n="[Table2].[Quarter].&amp;[Q2]" c="Q2"/>
              <i n="[Table2].[Quarter].&amp;[Q3]" c="Q3"/>
              <i n="[Table2].[Quarter].&amp;[Q4]" c="Q4"/>
            </range>
          </ranges>
        </level>
      </levels>
      <selections count="1">
        <selection n="[Table2].[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DAFE7A0-716A-450C-A473-0A8B116004FE}" cache="Slicer_Region" caption="Region" columnCount="2" level="1" style="SlicerStyleDark3" rowHeight="234950"/>
  <slicer name="Quarter" xr10:uid="{8991AE37-BD7A-4984-B4BB-D0E40BCF1752}" cache="Slicer_Quarter" caption="Quarter" columnCount="2" level="1" style="SlicerStyleDark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97C2D01-F88F-47C3-9AC4-2D89906C947F}" name="Table2" displayName="Table2" ref="A2:O174" totalsRowShown="0" headerRowDxfId="24" headerRowBorderDxfId="23" tableBorderDxfId="22" totalsRowBorderDxfId="21">
  <autoFilter ref="A2:O174" xr:uid="{F97C2D01-F88F-47C3-9AC4-2D89906C947F}"/>
  <tableColumns count="15">
    <tableColumn id="1" xr3:uid="{493454A4-EB7E-4D46-9DE2-8B26CCE3607F}" name="Order_ID" dataDxfId="20"/>
    <tableColumn id="2" xr3:uid="{962444F8-3EE3-465E-A2EF-EBA496D6C6F9}" name="Date" dataDxfId="19"/>
    <tableColumn id="3" xr3:uid="{E7E4A382-B910-480D-B322-10A1D6AF7B35}" name="Month" dataDxfId="18"/>
    <tableColumn id="4" xr3:uid="{35E7EEA8-01CF-4A22-8FA7-89C202F6A776}" name="Quarter" dataDxfId="17"/>
    <tableColumn id="5" xr3:uid="{E11CD6DE-5CD4-41A5-8F9D-393E9A146DC9}" name="Salesperson" dataDxfId="16"/>
    <tableColumn id="6" xr3:uid="{E2C09DE7-EFF3-4F65-A938-F9A061960443}" name="Region" dataDxfId="15"/>
    <tableColumn id="7" xr3:uid="{6FCC009C-46F5-470D-92FD-56E59E1072E2}" name="Product_Category" dataDxfId="14"/>
    <tableColumn id="8" xr3:uid="{CAD75C08-7953-494B-92A2-4007BA429324}" name="Product_Name" dataDxfId="13"/>
    <tableColumn id="9" xr3:uid="{ACF34C7F-4772-4366-86C8-5E06F86EE6B0}" name="Units_Sold" dataDxfId="12"/>
    <tableColumn id="10" xr3:uid="{736CF108-1592-45F1-B80C-2810D946ED6F}" name="Unit_Price_SAR" dataDxfId="11"/>
    <tableColumn id="11" xr3:uid="{666086EA-704B-40C7-8F88-7E04B1403456}" name="Total_Revenue_SAR" dataDxfId="10"/>
    <tableColumn id="12" xr3:uid="{64B6C604-5C20-4847-B603-53C64C61F487}" name="Cost_SAR" dataDxfId="9"/>
    <tableColumn id="13" xr3:uid="{C0596047-8B14-4EAF-ADEA-AB471F900ACC}" name="Profit_SAR" dataDxfId="8">
      <calculatedColumnFormula>Table2[[#This Row],[Total_Revenue_SAR]]-Table2[[#This Row],[Cost_SAR]]</calculatedColumnFormula>
    </tableColumn>
    <tableColumn id="14" xr3:uid="{5E647834-C356-40B4-9652-7D8F8950BC90}" name="Profit_Margin%" dataDxfId="7" dataCellStyle="Percent">
      <calculatedColumnFormula>Table2[[#This Row],[Profit_SAR]]/Table2[[#This Row],[Total_Revenue_SAR]]</calculatedColumnFormula>
    </tableColumn>
    <tableColumn id="15" xr3:uid="{29525019-DF38-477E-8779-EB570EFB4BF2}" name="Performance_Flag" dataDxfId="6">
      <calculatedColumnFormula>IF(Table2[[#This Row],[Profit_Margin%]]&gt;=40%,"High","Low")</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9DC7BF-B6DA-4F61-B154-C5E0EBB9FF3A}" name="Table1" displayName="Table1" ref="A2:F15" totalsRowShown="0" headerRowDxfId="5">
  <autoFilter ref="A2:F15" xr:uid="{819DC7BF-B6DA-4F61-B154-C5E0EBB9FF3A}"/>
  <tableColumns count="6">
    <tableColumn id="1" xr3:uid="{35EF78DC-191F-464B-AAC5-20DE79D7D50E}" name="Month"/>
    <tableColumn id="2" xr3:uid="{ACFAEE88-999D-45C8-AA5E-F2A07B5C4660}" name="Quarter"/>
    <tableColumn id="3" xr3:uid="{BB645BEE-63EF-4FFE-A4F7-C56C7083A7DE}" name="Target_SAR"/>
    <tableColumn id="4" xr3:uid="{FD00305E-0781-42D0-A41D-14CB6EC69D0C}" name="Actual_SAR"/>
    <tableColumn id="5" xr3:uid="{52E8D138-5423-4565-8046-3FA1EC534FC9}" name="Variance_SAR"/>
    <tableColumn id="6" xr3:uid="{12CCFCB8-483F-41FB-977E-C756B1AF0C88}" name="MoM Growth%" dataDxfId="4" dataCellStyle="Percent"/>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9A84C"/>
  </sheetPr>
  <dimension ref="A1:H72"/>
  <sheetViews>
    <sheetView workbookViewId="0">
      <pane ySplit="1" topLeftCell="A29" activePane="bottomLeft" state="frozen"/>
      <selection pane="bottomLeft" sqref="A1:H1"/>
    </sheetView>
  </sheetViews>
  <sheetFormatPr defaultRowHeight="14.4" x14ac:dyDescent="0.3"/>
  <cols>
    <col min="1" max="1" width="110" customWidth="1"/>
  </cols>
  <sheetData>
    <row r="1" spans="1:8" ht="36" customHeight="1" x14ac:dyDescent="0.3">
      <c r="A1" s="42" t="s">
        <v>0</v>
      </c>
      <c r="B1" s="38"/>
      <c r="C1" s="38"/>
      <c r="D1" s="38"/>
      <c r="E1" s="38"/>
      <c r="F1" s="38"/>
      <c r="G1" s="38"/>
      <c r="H1" s="38"/>
    </row>
    <row r="3" spans="1:8" ht="24" customHeight="1" x14ac:dyDescent="0.3">
      <c r="A3" s="44" t="s">
        <v>1</v>
      </c>
      <c r="B3" s="38"/>
      <c r="C3" s="38"/>
      <c r="D3" s="38"/>
      <c r="E3" s="38"/>
      <c r="F3" s="38"/>
      <c r="G3" s="38"/>
      <c r="H3" s="38"/>
    </row>
    <row r="4" spans="1:8" ht="19.95" customHeight="1" x14ac:dyDescent="0.3">
      <c r="A4" s="40" t="s">
        <v>2</v>
      </c>
      <c r="B4" s="38"/>
      <c r="C4" s="38"/>
      <c r="D4" s="38"/>
      <c r="E4" s="38"/>
      <c r="F4" s="38"/>
      <c r="G4" s="38"/>
      <c r="H4" s="38"/>
    </row>
    <row r="5" spans="1:8" ht="19.95" customHeight="1" x14ac:dyDescent="0.3">
      <c r="A5" s="39" t="s">
        <v>3</v>
      </c>
      <c r="B5" s="38"/>
      <c r="C5" s="38"/>
      <c r="D5" s="38"/>
      <c r="E5" s="38"/>
      <c r="F5" s="38"/>
      <c r="G5" s="38"/>
      <c r="H5" s="38"/>
    </row>
    <row r="6" spans="1:8" ht="19.95" customHeight="1" x14ac:dyDescent="0.3">
      <c r="A6" s="40" t="s">
        <v>4</v>
      </c>
      <c r="B6" s="38"/>
      <c r="C6" s="38"/>
      <c r="D6" s="38"/>
      <c r="E6" s="38"/>
      <c r="F6" s="38"/>
      <c r="G6" s="38"/>
      <c r="H6" s="38"/>
    </row>
    <row r="7" spans="1:8" ht="19.95" customHeight="1" x14ac:dyDescent="0.3">
      <c r="A7" s="39" t="s">
        <v>5</v>
      </c>
      <c r="B7" s="38"/>
      <c r="C7" s="38"/>
      <c r="D7" s="38"/>
      <c r="E7" s="38"/>
      <c r="F7" s="38"/>
      <c r="G7" s="38"/>
      <c r="H7" s="38"/>
    </row>
    <row r="9" spans="1:8" ht="24" customHeight="1" x14ac:dyDescent="0.3">
      <c r="A9" s="41" t="s">
        <v>6</v>
      </c>
      <c r="B9" s="38"/>
      <c r="C9" s="38"/>
      <c r="D9" s="38"/>
      <c r="E9" s="38"/>
      <c r="F9" s="38"/>
      <c r="G9" s="38"/>
      <c r="H9" s="38"/>
    </row>
    <row r="10" spans="1:8" ht="19.95" customHeight="1" x14ac:dyDescent="0.3">
      <c r="A10" s="40" t="s">
        <v>7</v>
      </c>
      <c r="B10" s="38"/>
      <c r="C10" s="38"/>
      <c r="D10" s="38"/>
      <c r="E10" s="38"/>
      <c r="F10" s="38"/>
      <c r="G10" s="38"/>
      <c r="H10" s="38"/>
    </row>
    <row r="11" spans="1:8" ht="19.95" customHeight="1" x14ac:dyDescent="0.3">
      <c r="A11" s="39" t="s">
        <v>8</v>
      </c>
      <c r="B11" s="38"/>
      <c r="C11" s="38"/>
      <c r="D11" s="38"/>
      <c r="E11" s="38"/>
      <c r="F11" s="38"/>
      <c r="G11" s="38"/>
      <c r="H11" s="38"/>
    </row>
    <row r="12" spans="1:8" ht="19.95" customHeight="1" x14ac:dyDescent="0.3">
      <c r="A12" s="40" t="s">
        <v>9</v>
      </c>
      <c r="B12" s="38"/>
      <c r="C12" s="38"/>
      <c r="D12" s="38"/>
      <c r="E12" s="38"/>
      <c r="F12" s="38"/>
      <c r="G12" s="38"/>
      <c r="H12" s="38"/>
    </row>
    <row r="13" spans="1:8" ht="19.95" customHeight="1" x14ac:dyDescent="0.3">
      <c r="A13" s="39" t="s">
        <v>10</v>
      </c>
      <c r="B13" s="38"/>
      <c r="C13" s="38"/>
      <c r="D13" s="38"/>
      <c r="E13" s="38"/>
      <c r="F13" s="38"/>
      <c r="G13" s="38"/>
      <c r="H13" s="38"/>
    </row>
    <row r="14" spans="1:8" ht="19.95" customHeight="1" x14ac:dyDescent="0.3">
      <c r="A14" s="40" t="s">
        <v>11</v>
      </c>
      <c r="B14" s="38"/>
      <c r="C14" s="38"/>
      <c r="D14" s="38"/>
      <c r="E14" s="38"/>
      <c r="F14" s="38"/>
      <c r="G14" s="38"/>
      <c r="H14" s="38"/>
    </row>
    <row r="15" spans="1:8" ht="19.95" customHeight="1" x14ac:dyDescent="0.3">
      <c r="A15" s="39" t="s">
        <v>12</v>
      </c>
      <c r="B15" s="38"/>
      <c r="C15" s="38"/>
      <c r="D15" s="38"/>
      <c r="E15" s="38"/>
      <c r="F15" s="38"/>
      <c r="G15" s="38"/>
      <c r="H15" s="38"/>
    </row>
    <row r="16" spans="1:8" ht="19.95" customHeight="1" x14ac:dyDescent="0.3">
      <c r="A16" s="40" t="s">
        <v>13</v>
      </c>
      <c r="B16" s="38"/>
      <c r="C16" s="38"/>
      <c r="D16" s="38"/>
      <c r="E16" s="38"/>
      <c r="F16" s="38"/>
      <c r="G16" s="38"/>
      <c r="H16" s="38"/>
    </row>
    <row r="18" spans="1:8" ht="24" customHeight="1" x14ac:dyDescent="0.3">
      <c r="A18" s="41" t="s">
        <v>14</v>
      </c>
      <c r="B18" s="38"/>
      <c r="C18" s="38"/>
      <c r="D18" s="38"/>
      <c r="E18" s="38"/>
      <c r="F18" s="38"/>
      <c r="G18" s="38"/>
      <c r="H18" s="38"/>
    </row>
    <row r="19" spans="1:8" ht="19.95" customHeight="1" x14ac:dyDescent="0.3">
      <c r="A19" s="39" t="s">
        <v>15</v>
      </c>
      <c r="B19" s="38"/>
      <c r="C19" s="38"/>
      <c r="D19" s="38"/>
      <c r="E19" s="38"/>
      <c r="F19" s="38"/>
      <c r="G19" s="38"/>
      <c r="H19" s="38"/>
    </row>
    <row r="20" spans="1:8" ht="19.95" customHeight="1" x14ac:dyDescent="0.3">
      <c r="A20" s="40" t="s">
        <v>16</v>
      </c>
      <c r="B20" s="38"/>
      <c r="C20" s="38"/>
      <c r="D20" s="38"/>
      <c r="E20" s="38"/>
      <c r="F20" s="38"/>
      <c r="G20" s="38"/>
      <c r="H20" s="38"/>
    </row>
    <row r="21" spans="1:8" ht="19.95" customHeight="1" x14ac:dyDescent="0.3">
      <c r="A21" s="39" t="s">
        <v>17</v>
      </c>
      <c r="B21" s="38"/>
      <c r="C21" s="38"/>
      <c r="D21" s="38"/>
      <c r="E21" s="38"/>
      <c r="F21" s="38"/>
      <c r="G21" s="38"/>
      <c r="H21" s="38"/>
    </row>
    <row r="22" spans="1:8" ht="19.95" customHeight="1" x14ac:dyDescent="0.3">
      <c r="A22" s="40" t="s">
        <v>18</v>
      </c>
      <c r="B22" s="38"/>
      <c r="C22" s="38"/>
      <c r="D22" s="38"/>
      <c r="E22" s="38"/>
      <c r="F22" s="38"/>
      <c r="G22" s="38"/>
      <c r="H22" s="38"/>
    </row>
    <row r="23" spans="1:8" ht="19.95" customHeight="1" x14ac:dyDescent="0.3">
      <c r="A23" s="39" t="s">
        <v>19</v>
      </c>
      <c r="B23" s="38"/>
      <c r="C23" s="38"/>
      <c r="D23" s="38"/>
      <c r="E23" s="38"/>
      <c r="F23" s="38"/>
      <c r="G23" s="38"/>
      <c r="H23" s="38"/>
    </row>
    <row r="24" spans="1:8" ht="19.95" customHeight="1" x14ac:dyDescent="0.3">
      <c r="A24" s="40" t="s">
        <v>20</v>
      </c>
      <c r="B24" s="38"/>
      <c r="C24" s="38"/>
      <c r="D24" s="38"/>
      <c r="E24" s="38"/>
      <c r="F24" s="38"/>
      <c r="G24" s="38"/>
      <c r="H24" s="38"/>
    </row>
    <row r="25" spans="1:8" ht="19.95" customHeight="1" x14ac:dyDescent="0.3">
      <c r="A25" s="39" t="s">
        <v>21</v>
      </c>
      <c r="B25" s="38"/>
      <c r="C25" s="38"/>
      <c r="D25" s="38"/>
      <c r="E25" s="38"/>
      <c r="F25" s="38"/>
      <c r="G25" s="38"/>
      <c r="H25" s="38"/>
    </row>
    <row r="26" spans="1:8" ht="19.95" customHeight="1" x14ac:dyDescent="0.3">
      <c r="A26" s="40" t="s">
        <v>22</v>
      </c>
      <c r="B26" s="38"/>
      <c r="C26" s="38"/>
      <c r="D26" s="38"/>
      <c r="E26" s="38"/>
      <c r="F26" s="38"/>
      <c r="G26" s="38"/>
      <c r="H26" s="38"/>
    </row>
    <row r="27" spans="1:8" ht="19.95" customHeight="1" x14ac:dyDescent="0.3">
      <c r="A27" s="39" t="s">
        <v>23</v>
      </c>
      <c r="B27" s="38"/>
      <c r="C27" s="38"/>
      <c r="D27" s="38"/>
      <c r="E27" s="38"/>
      <c r="F27" s="38"/>
      <c r="G27" s="38"/>
      <c r="H27" s="38"/>
    </row>
    <row r="29" spans="1:8" ht="24" customHeight="1" x14ac:dyDescent="0.3">
      <c r="A29" s="41" t="s">
        <v>24</v>
      </c>
      <c r="B29" s="38"/>
      <c r="C29" s="38"/>
      <c r="D29" s="38"/>
      <c r="E29" s="38"/>
      <c r="F29" s="38"/>
      <c r="G29" s="38"/>
      <c r="H29" s="38"/>
    </row>
    <row r="30" spans="1:8" ht="19.95" customHeight="1" x14ac:dyDescent="0.3">
      <c r="A30" s="40" t="s">
        <v>25</v>
      </c>
      <c r="B30" s="38"/>
      <c r="C30" s="38"/>
      <c r="D30" s="38"/>
      <c r="E30" s="38"/>
      <c r="F30" s="38"/>
      <c r="G30" s="38"/>
      <c r="H30" s="38"/>
    </row>
    <row r="31" spans="1:8" ht="19.95" customHeight="1" x14ac:dyDescent="0.3">
      <c r="A31" s="39" t="s">
        <v>26</v>
      </c>
      <c r="B31" s="38"/>
      <c r="C31" s="38"/>
      <c r="D31" s="38"/>
      <c r="E31" s="38"/>
      <c r="F31" s="38"/>
      <c r="G31" s="38"/>
      <c r="H31" s="38"/>
    </row>
    <row r="32" spans="1:8" ht="19.95" customHeight="1" x14ac:dyDescent="0.3">
      <c r="A32" s="40" t="s">
        <v>27</v>
      </c>
      <c r="B32" s="38"/>
      <c r="C32" s="38"/>
      <c r="D32" s="38"/>
      <c r="E32" s="38"/>
      <c r="F32" s="38"/>
      <c r="G32" s="38"/>
      <c r="H32" s="38"/>
    </row>
    <row r="33" spans="1:8" ht="19.95" customHeight="1" x14ac:dyDescent="0.3">
      <c r="A33" s="39" t="s">
        <v>28</v>
      </c>
      <c r="B33" s="38"/>
      <c r="C33" s="38"/>
      <c r="D33" s="38"/>
      <c r="E33" s="38"/>
      <c r="F33" s="38"/>
      <c r="G33" s="38"/>
      <c r="H33" s="38"/>
    </row>
    <row r="34" spans="1:8" ht="19.95" customHeight="1" x14ac:dyDescent="0.3">
      <c r="A34" s="40" t="s">
        <v>29</v>
      </c>
      <c r="B34" s="38"/>
      <c r="C34" s="38"/>
      <c r="D34" s="38"/>
      <c r="E34" s="38"/>
      <c r="F34" s="38"/>
      <c r="G34" s="38"/>
      <c r="H34" s="38"/>
    </row>
    <row r="35" spans="1:8" ht="19.95" customHeight="1" x14ac:dyDescent="0.3">
      <c r="A35" s="39" t="s">
        <v>30</v>
      </c>
      <c r="B35" s="38"/>
      <c r="C35" s="38"/>
      <c r="D35" s="38"/>
      <c r="E35" s="38"/>
      <c r="F35" s="38"/>
      <c r="G35" s="38"/>
      <c r="H35" s="38"/>
    </row>
    <row r="37" spans="1:8" ht="24" customHeight="1" x14ac:dyDescent="0.3">
      <c r="A37" s="41" t="s">
        <v>31</v>
      </c>
      <c r="B37" s="38"/>
      <c r="C37" s="38"/>
      <c r="D37" s="38"/>
      <c r="E37" s="38"/>
      <c r="F37" s="38"/>
      <c r="G37" s="38"/>
      <c r="H37" s="38"/>
    </row>
    <row r="38" spans="1:8" ht="19.95" customHeight="1" x14ac:dyDescent="0.3">
      <c r="A38" s="40" t="s">
        <v>32</v>
      </c>
      <c r="B38" s="38"/>
      <c r="C38" s="38"/>
      <c r="D38" s="38"/>
      <c r="E38" s="38"/>
      <c r="F38" s="38"/>
      <c r="G38" s="38"/>
      <c r="H38" s="38"/>
    </row>
    <row r="39" spans="1:8" ht="19.95" customHeight="1" x14ac:dyDescent="0.3">
      <c r="A39" s="39" t="s">
        <v>33</v>
      </c>
      <c r="B39" s="38"/>
      <c r="C39" s="38"/>
      <c r="D39" s="38"/>
      <c r="E39" s="38"/>
      <c r="F39" s="38"/>
      <c r="G39" s="38"/>
      <c r="H39" s="38"/>
    </row>
    <row r="40" spans="1:8" ht="19.95" customHeight="1" x14ac:dyDescent="0.3">
      <c r="A40" s="40" t="s">
        <v>34</v>
      </c>
      <c r="B40" s="38"/>
      <c r="C40" s="38"/>
      <c r="D40" s="38"/>
      <c r="E40" s="38"/>
      <c r="F40" s="38"/>
      <c r="G40" s="38"/>
      <c r="H40" s="38"/>
    </row>
    <row r="41" spans="1:8" ht="19.95" customHeight="1" x14ac:dyDescent="0.3">
      <c r="A41" s="39" t="s">
        <v>35</v>
      </c>
      <c r="B41" s="38"/>
      <c r="C41" s="38"/>
      <c r="D41" s="38"/>
      <c r="E41" s="38"/>
      <c r="F41" s="38"/>
      <c r="G41" s="38"/>
      <c r="H41" s="38"/>
    </row>
    <row r="42" spans="1:8" ht="19.95" customHeight="1" x14ac:dyDescent="0.3">
      <c r="A42" s="40" t="s">
        <v>36</v>
      </c>
      <c r="B42" s="38"/>
      <c r="C42" s="38"/>
      <c r="D42" s="38"/>
      <c r="E42" s="38"/>
      <c r="F42" s="38"/>
      <c r="G42" s="38"/>
      <c r="H42" s="38"/>
    </row>
    <row r="43" spans="1:8" ht="19.95" customHeight="1" x14ac:dyDescent="0.3">
      <c r="A43" s="39" t="s">
        <v>37</v>
      </c>
      <c r="B43" s="38"/>
      <c r="C43" s="38"/>
      <c r="D43" s="38"/>
      <c r="E43" s="38"/>
      <c r="F43" s="38"/>
      <c r="G43" s="38"/>
      <c r="H43" s="38"/>
    </row>
    <row r="45" spans="1:8" ht="24" customHeight="1" x14ac:dyDescent="0.3">
      <c r="A45" s="41" t="s">
        <v>38</v>
      </c>
      <c r="B45" s="38"/>
      <c r="C45" s="38"/>
      <c r="D45" s="38"/>
      <c r="E45" s="38"/>
      <c r="F45" s="38"/>
      <c r="G45" s="38"/>
      <c r="H45" s="38"/>
    </row>
    <row r="46" spans="1:8" ht="19.95" customHeight="1" x14ac:dyDescent="0.3">
      <c r="A46" s="40" t="s">
        <v>39</v>
      </c>
      <c r="B46" s="38"/>
      <c r="C46" s="38"/>
      <c r="D46" s="38"/>
      <c r="E46" s="38"/>
      <c r="F46" s="38"/>
      <c r="G46" s="38"/>
      <c r="H46" s="38"/>
    </row>
    <row r="47" spans="1:8" ht="19.95" customHeight="1" x14ac:dyDescent="0.3">
      <c r="A47" s="39" t="s">
        <v>40</v>
      </c>
      <c r="B47" s="38"/>
      <c r="C47" s="38"/>
      <c r="D47" s="38"/>
      <c r="E47" s="38"/>
      <c r="F47" s="38"/>
      <c r="G47" s="38"/>
      <c r="H47" s="38"/>
    </row>
    <row r="48" spans="1:8" ht="19.95" customHeight="1" x14ac:dyDescent="0.3">
      <c r="A48" s="40" t="s">
        <v>41</v>
      </c>
      <c r="B48" s="38"/>
      <c r="C48" s="38"/>
      <c r="D48" s="38"/>
      <c r="E48" s="38"/>
      <c r="F48" s="38"/>
      <c r="G48" s="38"/>
      <c r="H48" s="38"/>
    </row>
    <row r="49" spans="1:8" ht="19.95" customHeight="1" x14ac:dyDescent="0.3">
      <c r="A49" s="39" t="s">
        <v>42</v>
      </c>
      <c r="B49" s="38"/>
      <c r="C49" s="38"/>
      <c r="D49" s="38"/>
      <c r="E49" s="38"/>
      <c r="F49" s="38"/>
      <c r="G49" s="38"/>
      <c r="H49" s="38"/>
    </row>
    <row r="50" spans="1:8" ht="19.95" customHeight="1" x14ac:dyDescent="0.3">
      <c r="A50" s="40" t="s">
        <v>43</v>
      </c>
      <c r="B50" s="38"/>
      <c r="C50" s="38"/>
      <c r="D50" s="38"/>
      <c r="E50" s="38"/>
      <c r="F50" s="38"/>
      <c r="G50" s="38"/>
      <c r="H50" s="38"/>
    </row>
    <row r="51" spans="1:8" ht="19.95" customHeight="1" x14ac:dyDescent="0.3">
      <c r="A51" s="39" t="s">
        <v>44</v>
      </c>
      <c r="B51" s="38"/>
      <c r="C51" s="38"/>
      <c r="D51" s="38"/>
      <c r="E51" s="38"/>
      <c r="F51" s="38"/>
      <c r="G51" s="38"/>
      <c r="H51" s="38"/>
    </row>
    <row r="53" spans="1:8" ht="24" customHeight="1" x14ac:dyDescent="0.3">
      <c r="A53" s="45" t="s">
        <v>45</v>
      </c>
      <c r="B53" s="38"/>
      <c r="C53" s="38"/>
      <c r="D53" s="38"/>
      <c r="E53" s="38"/>
      <c r="F53" s="38"/>
      <c r="G53" s="38"/>
      <c r="H53" s="38"/>
    </row>
    <row r="54" spans="1:8" ht="19.95" customHeight="1" x14ac:dyDescent="0.3">
      <c r="A54" s="40" t="s">
        <v>46</v>
      </c>
      <c r="B54" s="38"/>
      <c r="C54" s="38"/>
      <c r="D54" s="38"/>
      <c r="E54" s="38"/>
      <c r="F54" s="38"/>
      <c r="G54" s="38"/>
      <c r="H54" s="38"/>
    </row>
    <row r="55" spans="1:8" ht="19.95" customHeight="1" x14ac:dyDescent="0.3">
      <c r="A55" s="39" t="s">
        <v>47</v>
      </c>
      <c r="B55" s="38"/>
      <c r="C55" s="38"/>
      <c r="D55" s="38"/>
      <c r="E55" s="38"/>
      <c r="F55" s="38"/>
      <c r="G55" s="38"/>
      <c r="H55" s="38"/>
    </row>
    <row r="56" spans="1:8" ht="19.95" customHeight="1" x14ac:dyDescent="0.3">
      <c r="A56" s="40" t="s">
        <v>48</v>
      </c>
      <c r="B56" s="38"/>
      <c r="C56" s="38"/>
      <c r="D56" s="38"/>
      <c r="E56" s="38"/>
      <c r="F56" s="38"/>
      <c r="G56" s="38"/>
      <c r="H56" s="38"/>
    </row>
    <row r="57" spans="1:8" ht="19.95" customHeight="1" x14ac:dyDescent="0.3">
      <c r="A57" s="39" t="s">
        <v>49</v>
      </c>
      <c r="B57" s="38"/>
      <c r="C57" s="38"/>
      <c r="D57" s="38"/>
      <c r="E57" s="38"/>
      <c r="F57" s="38"/>
      <c r="G57" s="38"/>
      <c r="H57" s="38"/>
    </row>
    <row r="58" spans="1:8" ht="19.95" customHeight="1" x14ac:dyDescent="0.3">
      <c r="A58" s="40" t="s">
        <v>50</v>
      </c>
      <c r="B58" s="38"/>
      <c r="C58" s="38"/>
      <c r="D58" s="38"/>
      <c r="E58" s="38"/>
      <c r="F58" s="38"/>
      <c r="G58" s="38"/>
      <c r="H58" s="38"/>
    </row>
    <row r="59" spans="1:8" ht="19.95" customHeight="1" x14ac:dyDescent="0.3">
      <c r="A59" s="39" t="s">
        <v>51</v>
      </c>
      <c r="B59" s="38"/>
      <c r="C59" s="38"/>
      <c r="D59" s="38"/>
      <c r="E59" s="38"/>
      <c r="F59" s="38"/>
      <c r="G59" s="38"/>
      <c r="H59" s="38"/>
    </row>
    <row r="60" spans="1:8" ht="19.95" customHeight="1" x14ac:dyDescent="0.3">
      <c r="A60" s="40" t="s">
        <v>52</v>
      </c>
      <c r="B60" s="38"/>
      <c r="C60" s="38"/>
      <c r="D60" s="38"/>
      <c r="E60" s="38"/>
      <c r="F60" s="38"/>
      <c r="G60" s="38"/>
      <c r="H60" s="38"/>
    </row>
    <row r="61" spans="1:8" ht="19.95" customHeight="1" x14ac:dyDescent="0.3">
      <c r="A61" s="39" t="s">
        <v>53</v>
      </c>
      <c r="B61" s="38"/>
      <c r="C61" s="38"/>
      <c r="D61" s="38"/>
      <c r="E61" s="38"/>
      <c r="F61" s="38"/>
      <c r="G61" s="38"/>
      <c r="H61" s="38"/>
    </row>
    <row r="62" spans="1:8" ht="19.95" customHeight="1" x14ac:dyDescent="0.3">
      <c r="A62" s="40" t="s">
        <v>54</v>
      </c>
      <c r="B62" s="38"/>
      <c r="C62" s="38"/>
      <c r="D62" s="38"/>
      <c r="E62" s="38"/>
      <c r="F62" s="38"/>
      <c r="G62" s="38"/>
      <c r="H62" s="38"/>
    </row>
    <row r="63" spans="1:8" ht="19.95" customHeight="1" x14ac:dyDescent="0.3">
      <c r="A63" s="39" t="s">
        <v>55</v>
      </c>
      <c r="B63" s="38"/>
      <c r="C63" s="38"/>
      <c r="D63" s="38"/>
      <c r="E63" s="38"/>
      <c r="F63" s="38"/>
      <c r="G63" s="38"/>
      <c r="H63" s="38"/>
    </row>
    <row r="65" spans="1:8" ht="24" customHeight="1" x14ac:dyDescent="0.3">
      <c r="A65" s="43" t="s">
        <v>56</v>
      </c>
      <c r="B65" s="38"/>
      <c r="C65" s="38"/>
      <c r="D65" s="38"/>
      <c r="E65" s="38"/>
      <c r="F65" s="38"/>
      <c r="G65" s="38"/>
      <c r="H65" s="38"/>
    </row>
    <row r="66" spans="1:8" ht="19.95" customHeight="1" x14ac:dyDescent="0.3">
      <c r="A66" s="40" t="s">
        <v>57</v>
      </c>
      <c r="B66" s="38"/>
      <c r="C66" s="38"/>
      <c r="D66" s="38"/>
      <c r="E66" s="38"/>
      <c r="F66" s="38"/>
      <c r="G66" s="38"/>
      <c r="H66" s="38"/>
    </row>
    <row r="67" spans="1:8" ht="19.95" customHeight="1" x14ac:dyDescent="0.3">
      <c r="A67" s="39" t="s">
        <v>58</v>
      </c>
      <c r="B67" s="38"/>
      <c r="C67" s="38"/>
      <c r="D67" s="38"/>
      <c r="E67" s="38"/>
      <c r="F67" s="38"/>
      <c r="G67" s="38"/>
      <c r="H67" s="38"/>
    </row>
    <row r="68" spans="1:8" ht="19.95" customHeight="1" x14ac:dyDescent="0.3">
      <c r="A68" s="40" t="s">
        <v>59</v>
      </c>
      <c r="B68" s="38"/>
      <c r="C68" s="38"/>
      <c r="D68" s="38"/>
      <c r="E68" s="38"/>
      <c r="F68" s="38"/>
      <c r="G68" s="38"/>
      <c r="H68" s="38"/>
    </row>
    <row r="69" spans="1:8" ht="19.95" customHeight="1" x14ac:dyDescent="0.3">
      <c r="A69" s="39" t="s">
        <v>60</v>
      </c>
      <c r="B69" s="38"/>
      <c r="C69" s="38"/>
      <c r="D69" s="38"/>
      <c r="E69" s="38"/>
      <c r="F69" s="38"/>
      <c r="G69" s="38"/>
      <c r="H69" s="38"/>
    </row>
    <row r="70" spans="1:8" ht="19.95" customHeight="1" x14ac:dyDescent="0.3">
      <c r="A70" s="40" t="s">
        <v>61</v>
      </c>
      <c r="B70" s="38"/>
      <c r="C70" s="38"/>
      <c r="D70" s="38"/>
      <c r="E70" s="38"/>
      <c r="F70" s="38"/>
      <c r="G70" s="38"/>
      <c r="H70" s="38"/>
    </row>
    <row r="71" spans="1:8" ht="19.95" customHeight="1" x14ac:dyDescent="0.3">
      <c r="A71" s="39" t="s">
        <v>62</v>
      </c>
      <c r="B71" s="38"/>
      <c r="C71" s="38"/>
      <c r="D71" s="38"/>
      <c r="E71" s="38"/>
      <c r="F71" s="38"/>
      <c r="G71" s="38"/>
      <c r="H71" s="38"/>
    </row>
    <row r="72" spans="1:8" ht="19.95" customHeight="1" x14ac:dyDescent="0.3">
      <c r="A72" s="40" t="s">
        <v>63</v>
      </c>
      <c r="B72" s="38"/>
      <c r="C72" s="38"/>
      <c r="D72" s="38"/>
      <c r="E72" s="38"/>
      <c r="F72" s="38"/>
      <c r="G72" s="38"/>
      <c r="H72" s="38"/>
    </row>
  </sheetData>
  <mergeCells count="64">
    <mergeCell ref="A63:H63"/>
    <mergeCell ref="A72:H72"/>
    <mergeCell ref="A10:H10"/>
    <mergeCell ref="A13:H13"/>
    <mergeCell ref="A19:H19"/>
    <mergeCell ref="A68:H68"/>
    <mergeCell ref="A31:H31"/>
    <mergeCell ref="A58:H58"/>
    <mergeCell ref="A34:H34"/>
    <mergeCell ref="A71:H71"/>
    <mergeCell ref="A42:H42"/>
    <mergeCell ref="A33:H33"/>
    <mergeCell ref="A14:H14"/>
    <mergeCell ref="A47:H47"/>
    <mergeCell ref="A23:H23"/>
    <mergeCell ref="A32:H32"/>
    <mergeCell ref="A40:H40"/>
    <mergeCell ref="A62:H62"/>
    <mergeCell ref="A53:H53"/>
    <mergeCell ref="A29:H29"/>
    <mergeCell ref="A35:H35"/>
    <mergeCell ref="A55:H55"/>
    <mergeCell ref="A56:H56"/>
    <mergeCell ref="A3:H3"/>
    <mergeCell ref="A21:H21"/>
    <mergeCell ref="A26:H26"/>
    <mergeCell ref="A5:H5"/>
    <mergeCell ref="A4:H4"/>
    <mergeCell ref="A9:H9"/>
    <mergeCell ref="A11:H11"/>
    <mergeCell ref="A12:H12"/>
    <mergeCell ref="A22:H22"/>
    <mergeCell ref="A1:H1"/>
    <mergeCell ref="A45:H45"/>
    <mergeCell ref="A61:H61"/>
    <mergeCell ref="A6:H6"/>
    <mergeCell ref="A70:H70"/>
    <mergeCell ref="A69:H69"/>
    <mergeCell ref="A7:H7"/>
    <mergeCell ref="A25:H25"/>
    <mergeCell ref="A65:H65"/>
    <mergeCell ref="A16:H16"/>
    <mergeCell ref="A54:H54"/>
    <mergeCell ref="A41:H41"/>
    <mergeCell ref="A66:H66"/>
    <mergeCell ref="A37:H37"/>
    <mergeCell ref="A46:H46"/>
    <mergeCell ref="A27:H27"/>
    <mergeCell ref="A67:H67"/>
    <mergeCell ref="A48:H48"/>
    <mergeCell ref="A30:H30"/>
    <mergeCell ref="A39:H39"/>
    <mergeCell ref="A15:H15"/>
    <mergeCell ref="A59:H59"/>
    <mergeCell ref="A24:H24"/>
    <mergeCell ref="A51:H51"/>
    <mergeCell ref="A60:H60"/>
    <mergeCell ref="A49:H49"/>
    <mergeCell ref="A18:H18"/>
    <mergeCell ref="A50:H50"/>
    <mergeCell ref="A57:H57"/>
    <mergeCell ref="A20:H20"/>
    <mergeCell ref="A38:H38"/>
    <mergeCell ref="A43:H4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5F9C"/>
  </sheetPr>
  <dimension ref="A1:O174"/>
  <sheetViews>
    <sheetView zoomScale="70" zoomScaleNormal="70" workbookViewId="0">
      <pane ySplit="1" topLeftCell="A2" activePane="bottomLeft" state="frozen"/>
      <selection pane="bottomLeft" activeCell="Q12" sqref="Q12"/>
    </sheetView>
  </sheetViews>
  <sheetFormatPr defaultRowHeight="14.4" x14ac:dyDescent="0.3"/>
  <cols>
    <col min="1" max="1" width="12" customWidth="1"/>
    <col min="2" max="2" width="14" customWidth="1"/>
    <col min="3" max="3" width="10" customWidth="1"/>
    <col min="4" max="4" width="9.6640625" customWidth="1"/>
    <col min="5" max="5" width="20" customWidth="1"/>
    <col min="6" max="6" width="12" customWidth="1"/>
    <col min="7" max="7" width="18.88671875" customWidth="1"/>
    <col min="8" max="8" width="20" customWidth="1"/>
    <col min="9" max="9" width="12.33203125" customWidth="1"/>
    <col min="10" max="10" width="16.6640625" customWidth="1"/>
    <col min="11" max="11" width="26" bestFit="1" customWidth="1"/>
    <col min="12" max="12" width="14" customWidth="1"/>
    <col min="13" max="13" width="24.88671875" customWidth="1"/>
    <col min="14" max="14" width="20.6640625" customWidth="1"/>
    <col min="15" max="15" width="17" customWidth="1"/>
  </cols>
  <sheetData>
    <row r="1" spans="1:15" ht="31.95" customHeight="1" x14ac:dyDescent="0.3">
      <c r="A1" s="46" t="s">
        <v>64</v>
      </c>
      <c r="B1" s="47"/>
      <c r="C1" s="47"/>
      <c r="D1" s="47"/>
      <c r="E1" s="47"/>
      <c r="F1" s="47"/>
      <c r="G1" s="47"/>
      <c r="H1" s="47"/>
      <c r="I1" s="47"/>
      <c r="J1" s="47"/>
      <c r="K1" s="47"/>
      <c r="L1" s="47"/>
      <c r="M1" s="33"/>
      <c r="N1" s="33"/>
      <c r="O1" s="33"/>
    </row>
    <row r="2" spans="1:15" ht="22.05" customHeight="1" x14ac:dyDescent="0.3">
      <c r="A2" s="18" t="s">
        <v>65</v>
      </c>
      <c r="B2" s="19" t="s">
        <v>66</v>
      </c>
      <c r="C2" s="19" t="s">
        <v>67</v>
      </c>
      <c r="D2" s="19" t="s">
        <v>68</v>
      </c>
      <c r="E2" s="19" t="s">
        <v>69</v>
      </c>
      <c r="F2" s="19" t="s">
        <v>70</v>
      </c>
      <c r="G2" s="19" t="s">
        <v>71</v>
      </c>
      <c r="H2" s="19" t="s">
        <v>72</v>
      </c>
      <c r="I2" s="19" t="s">
        <v>73</v>
      </c>
      <c r="J2" s="19" t="s">
        <v>74</v>
      </c>
      <c r="K2" s="19" t="s">
        <v>75</v>
      </c>
      <c r="L2" s="20" t="s">
        <v>76</v>
      </c>
      <c r="M2" s="26" t="s">
        <v>320</v>
      </c>
      <c r="N2" s="26" t="s">
        <v>337</v>
      </c>
      <c r="O2" s="26" t="s">
        <v>336</v>
      </c>
    </row>
    <row r="3" spans="1:15" x14ac:dyDescent="0.3">
      <c r="A3" s="14" t="s">
        <v>77</v>
      </c>
      <c r="B3" s="3">
        <v>45040</v>
      </c>
      <c r="C3" s="2" t="s">
        <v>78</v>
      </c>
      <c r="D3" s="2" t="s">
        <v>159</v>
      </c>
      <c r="E3" s="2" t="s">
        <v>80</v>
      </c>
      <c r="F3" s="2" t="s">
        <v>81</v>
      </c>
      <c r="G3" s="2" t="s">
        <v>82</v>
      </c>
      <c r="H3" s="2" t="s">
        <v>83</v>
      </c>
      <c r="I3" s="2">
        <v>5</v>
      </c>
      <c r="J3" s="4">
        <v>85</v>
      </c>
      <c r="K3" s="4">
        <v>425</v>
      </c>
      <c r="L3" s="16">
        <v>276.25</v>
      </c>
      <c r="M3" s="27">
        <f>Table2[[#This Row],[Total_Revenue_SAR]]-Table2[[#This Row],[Cost_SAR]]</f>
        <v>148.75</v>
      </c>
      <c r="N3" s="36">
        <f>Table2[[#This Row],[Profit_SAR]]/Table2[[#This Row],[Total_Revenue_SAR]]</f>
        <v>0.35</v>
      </c>
      <c r="O3" t="str">
        <f>IF(Table2[[#This Row],[Profit_Margin%]]&gt;=40%,"High","Low")</f>
        <v>Low</v>
      </c>
    </row>
    <row r="4" spans="1:15" x14ac:dyDescent="0.3">
      <c r="A4" s="15" t="s">
        <v>84</v>
      </c>
      <c r="B4" s="6">
        <v>45018</v>
      </c>
      <c r="C4" s="5" t="s">
        <v>78</v>
      </c>
      <c r="D4" s="5" t="s">
        <v>159</v>
      </c>
      <c r="E4" s="5" t="s">
        <v>85</v>
      </c>
      <c r="F4" s="5" t="s">
        <v>86</v>
      </c>
      <c r="G4" s="5" t="s">
        <v>82</v>
      </c>
      <c r="H4" s="5" t="s">
        <v>87</v>
      </c>
      <c r="I4" s="5">
        <v>14</v>
      </c>
      <c r="J4" s="7">
        <v>120</v>
      </c>
      <c r="K4" s="7">
        <v>1680</v>
      </c>
      <c r="L4" s="17">
        <v>1092</v>
      </c>
      <c r="M4" s="27">
        <f>Table2[[#This Row],[Total_Revenue_SAR]]-Table2[[#This Row],[Cost_SAR]]</f>
        <v>588</v>
      </c>
      <c r="N4" s="36">
        <f>Table2[[#This Row],[Profit_SAR]]/Table2[[#This Row],[Total_Revenue_SAR]]</f>
        <v>0.35</v>
      </c>
      <c r="O4" t="str">
        <f>IF(Table2[[#This Row],[Profit_Margin%]]&gt;=40%,"High","Low")</f>
        <v>Low</v>
      </c>
    </row>
    <row r="5" spans="1:15" x14ac:dyDescent="0.3">
      <c r="A5" s="14" t="s">
        <v>88</v>
      </c>
      <c r="B5" s="3">
        <v>45036</v>
      </c>
      <c r="C5" s="2" t="s">
        <v>78</v>
      </c>
      <c r="D5" s="2" t="s">
        <v>159</v>
      </c>
      <c r="E5" s="2" t="s">
        <v>80</v>
      </c>
      <c r="F5" s="2" t="s">
        <v>81</v>
      </c>
      <c r="G5" s="2" t="s">
        <v>82</v>
      </c>
      <c r="H5" s="2" t="s">
        <v>89</v>
      </c>
      <c r="I5" s="2">
        <v>17</v>
      </c>
      <c r="J5" s="4">
        <v>450</v>
      </c>
      <c r="K5" s="4">
        <v>7650</v>
      </c>
      <c r="L5" s="16">
        <v>4972.5</v>
      </c>
      <c r="M5" s="27">
        <f>Table2[[#This Row],[Total_Revenue_SAR]]-Table2[[#This Row],[Cost_SAR]]</f>
        <v>2677.5</v>
      </c>
      <c r="N5" s="36">
        <f>Table2[[#This Row],[Profit_SAR]]/Table2[[#This Row],[Total_Revenue_SAR]]</f>
        <v>0.35</v>
      </c>
      <c r="O5" t="str">
        <f>IF(Table2[[#This Row],[Profit_Margin%]]&gt;=40%,"High","Low")</f>
        <v>Low</v>
      </c>
    </row>
    <row r="6" spans="1:15" x14ac:dyDescent="0.3">
      <c r="A6" s="15" t="s">
        <v>90</v>
      </c>
      <c r="B6" s="6">
        <v>45039</v>
      </c>
      <c r="C6" s="5" t="s">
        <v>78</v>
      </c>
      <c r="D6" s="5" t="s">
        <v>159</v>
      </c>
      <c r="E6" s="5" t="s">
        <v>91</v>
      </c>
      <c r="F6" s="5" t="s">
        <v>81</v>
      </c>
      <c r="G6" s="5" t="s">
        <v>82</v>
      </c>
      <c r="H6" s="5" t="s">
        <v>87</v>
      </c>
      <c r="I6" s="5">
        <v>21</v>
      </c>
      <c r="J6" s="7">
        <v>120</v>
      </c>
      <c r="K6" s="7">
        <v>2520</v>
      </c>
      <c r="L6" s="17">
        <v>1638</v>
      </c>
      <c r="M6" s="27">
        <f>Table2[[#This Row],[Total_Revenue_SAR]]-Table2[[#This Row],[Cost_SAR]]</f>
        <v>882</v>
      </c>
      <c r="N6" s="36">
        <f>Table2[[#This Row],[Profit_SAR]]/Table2[[#This Row],[Total_Revenue_SAR]]</f>
        <v>0.35</v>
      </c>
      <c r="O6" t="str">
        <f>IF(Table2[[#This Row],[Profit_Margin%]]&gt;=40%,"High","Low")</f>
        <v>Low</v>
      </c>
    </row>
    <row r="7" spans="1:15" x14ac:dyDescent="0.3">
      <c r="A7" s="14" t="s">
        <v>92</v>
      </c>
      <c r="B7" s="3">
        <v>45025</v>
      </c>
      <c r="C7" s="2" t="s">
        <v>78</v>
      </c>
      <c r="D7" s="2" t="s">
        <v>159</v>
      </c>
      <c r="E7" s="2" t="s">
        <v>93</v>
      </c>
      <c r="F7" s="2" t="s">
        <v>81</v>
      </c>
      <c r="G7" s="2" t="s">
        <v>94</v>
      </c>
      <c r="H7" s="2" t="s">
        <v>95</v>
      </c>
      <c r="I7" s="2">
        <v>19</v>
      </c>
      <c r="J7" s="4">
        <v>175</v>
      </c>
      <c r="K7" s="4">
        <v>3325</v>
      </c>
      <c r="L7" s="16">
        <v>2061.5</v>
      </c>
      <c r="M7" s="27">
        <f>Table2[[#This Row],[Total_Revenue_SAR]]-Table2[[#This Row],[Cost_SAR]]</f>
        <v>1263.5</v>
      </c>
      <c r="N7" s="36">
        <f>Table2[[#This Row],[Profit_SAR]]/Table2[[#This Row],[Total_Revenue_SAR]]</f>
        <v>0.38</v>
      </c>
      <c r="O7" t="str">
        <f>IF(Table2[[#This Row],[Profit_Margin%]]&gt;=40%,"High","Low")</f>
        <v>Low</v>
      </c>
    </row>
    <row r="8" spans="1:15" x14ac:dyDescent="0.3">
      <c r="A8" s="15" t="s">
        <v>96</v>
      </c>
      <c r="B8" s="6">
        <v>45021</v>
      </c>
      <c r="C8" s="5" t="s">
        <v>78</v>
      </c>
      <c r="D8" s="5" t="s">
        <v>159</v>
      </c>
      <c r="E8" s="5" t="s">
        <v>97</v>
      </c>
      <c r="F8" s="5" t="s">
        <v>98</v>
      </c>
      <c r="G8" s="5" t="s">
        <v>82</v>
      </c>
      <c r="H8" s="5" t="s">
        <v>99</v>
      </c>
      <c r="I8" s="5">
        <v>9</v>
      </c>
      <c r="J8" s="7">
        <v>320</v>
      </c>
      <c r="K8" s="7">
        <v>2880</v>
      </c>
      <c r="L8" s="17">
        <v>1872</v>
      </c>
      <c r="M8" s="27">
        <f>Table2[[#This Row],[Total_Revenue_SAR]]-Table2[[#This Row],[Cost_SAR]]</f>
        <v>1008</v>
      </c>
      <c r="N8" s="36">
        <f>Table2[[#This Row],[Profit_SAR]]/Table2[[#This Row],[Total_Revenue_SAR]]</f>
        <v>0.35</v>
      </c>
      <c r="O8" t="str">
        <f>IF(Table2[[#This Row],[Profit_Margin%]]&gt;=40%,"High","Low")</f>
        <v>Low</v>
      </c>
    </row>
    <row r="9" spans="1:15" x14ac:dyDescent="0.3">
      <c r="A9" s="14" t="s">
        <v>100</v>
      </c>
      <c r="B9" s="3">
        <v>45020</v>
      </c>
      <c r="C9" s="2" t="s">
        <v>78</v>
      </c>
      <c r="D9" s="2" t="s">
        <v>159</v>
      </c>
      <c r="E9" s="2" t="s">
        <v>101</v>
      </c>
      <c r="F9" s="2" t="s">
        <v>86</v>
      </c>
      <c r="G9" s="2" t="s">
        <v>102</v>
      </c>
      <c r="H9" s="2" t="s">
        <v>103</v>
      </c>
      <c r="I9" s="2">
        <v>13</v>
      </c>
      <c r="J9" s="4">
        <v>35</v>
      </c>
      <c r="K9" s="4">
        <v>455</v>
      </c>
      <c r="L9" s="16">
        <v>227.5</v>
      </c>
      <c r="M9" s="27">
        <f>Table2[[#This Row],[Total_Revenue_SAR]]-Table2[[#This Row],[Cost_SAR]]</f>
        <v>227.5</v>
      </c>
      <c r="N9" s="36">
        <f>Table2[[#This Row],[Profit_SAR]]/Table2[[#This Row],[Total_Revenue_SAR]]</f>
        <v>0.5</v>
      </c>
      <c r="O9" t="str">
        <f>IF(Table2[[#This Row],[Profit_Margin%]]&gt;=40%,"High","Low")</f>
        <v>High</v>
      </c>
    </row>
    <row r="10" spans="1:15" x14ac:dyDescent="0.3">
      <c r="A10" s="15" t="s">
        <v>104</v>
      </c>
      <c r="B10" s="6">
        <v>45040</v>
      </c>
      <c r="C10" s="5" t="s">
        <v>78</v>
      </c>
      <c r="D10" s="5" t="s">
        <v>159</v>
      </c>
      <c r="E10" s="5" t="s">
        <v>97</v>
      </c>
      <c r="F10" s="5" t="s">
        <v>105</v>
      </c>
      <c r="G10" s="5" t="s">
        <v>106</v>
      </c>
      <c r="H10" s="5" t="s">
        <v>107</v>
      </c>
      <c r="I10" s="5">
        <v>2</v>
      </c>
      <c r="J10" s="7">
        <v>290</v>
      </c>
      <c r="K10" s="7">
        <v>580</v>
      </c>
      <c r="L10" s="17">
        <v>348</v>
      </c>
      <c r="M10" s="27">
        <f>Table2[[#This Row],[Total_Revenue_SAR]]-Table2[[#This Row],[Cost_SAR]]</f>
        <v>232</v>
      </c>
      <c r="N10" s="36">
        <f>Table2[[#This Row],[Profit_SAR]]/Table2[[#This Row],[Total_Revenue_SAR]]</f>
        <v>0.4</v>
      </c>
      <c r="O10" t="str">
        <f>IF(Table2[[#This Row],[Profit_Margin%]]&gt;=40%,"High","Low")</f>
        <v>High</v>
      </c>
    </row>
    <row r="11" spans="1:15" x14ac:dyDescent="0.3">
      <c r="A11" s="14" t="s">
        <v>108</v>
      </c>
      <c r="B11" s="3">
        <v>45034</v>
      </c>
      <c r="C11" s="2" t="s">
        <v>78</v>
      </c>
      <c r="D11" s="2" t="s">
        <v>159</v>
      </c>
      <c r="E11" s="2" t="s">
        <v>93</v>
      </c>
      <c r="F11" s="2" t="s">
        <v>86</v>
      </c>
      <c r="G11" s="2" t="s">
        <v>109</v>
      </c>
      <c r="H11" s="2" t="s">
        <v>110</v>
      </c>
      <c r="I11" s="2">
        <v>3</v>
      </c>
      <c r="J11" s="4">
        <v>19</v>
      </c>
      <c r="K11" s="4">
        <v>57</v>
      </c>
      <c r="L11" s="16">
        <v>25.65</v>
      </c>
      <c r="M11" s="27">
        <f>Table2[[#This Row],[Total_Revenue_SAR]]-Table2[[#This Row],[Cost_SAR]]</f>
        <v>31.35</v>
      </c>
      <c r="N11" s="36">
        <f>Table2[[#This Row],[Profit_SAR]]/Table2[[#This Row],[Total_Revenue_SAR]]</f>
        <v>0.55000000000000004</v>
      </c>
      <c r="O11" t="str">
        <f>IF(Table2[[#This Row],[Profit_Margin%]]&gt;=40%,"High","Low")</f>
        <v>High</v>
      </c>
    </row>
    <row r="12" spans="1:15" x14ac:dyDescent="0.3">
      <c r="A12" s="15" t="s">
        <v>111</v>
      </c>
      <c r="B12" s="6">
        <v>45039</v>
      </c>
      <c r="C12" s="5" t="s">
        <v>78</v>
      </c>
      <c r="D12" s="5" t="s">
        <v>159</v>
      </c>
      <c r="E12" s="5" t="s">
        <v>85</v>
      </c>
      <c r="F12" s="5" t="s">
        <v>112</v>
      </c>
      <c r="G12" s="5" t="s">
        <v>106</v>
      </c>
      <c r="H12" s="5" t="s">
        <v>113</v>
      </c>
      <c r="I12" s="5">
        <v>7</v>
      </c>
      <c r="J12" s="7">
        <v>175</v>
      </c>
      <c r="K12" s="7">
        <v>1225</v>
      </c>
      <c r="L12" s="17">
        <v>735</v>
      </c>
      <c r="M12" s="27">
        <f>Table2[[#This Row],[Total_Revenue_SAR]]-Table2[[#This Row],[Cost_SAR]]</f>
        <v>490</v>
      </c>
      <c r="N12" s="36">
        <f>Table2[[#This Row],[Profit_SAR]]/Table2[[#This Row],[Total_Revenue_SAR]]</f>
        <v>0.4</v>
      </c>
      <c r="O12" t="str">
        <f>IF(Table2[[#This Row],[Profit_Margin%]]&gt;=40%,"High","Low")</f>
        <v>High</v>
      </c>
    </row>
    <row r="13" spans="1:15" x14ac:dyDescent="0.3">
      <c r="A13" s="14" t="s">
        <v>114</v>
      </c>
      <c r="B13" s="3">
        <v>45019</v>
      </c>
      <c r="C13" s="2" t="s">
        <v>78</v>
      </c>
      <c r="D13" s="2" t="s">
        <v>159</v>
      </c>
      <c r="E13" s="2" t="s">
        <v>115</v>
      </c>
      <c r="F13" s="2" t="s">
        <v>81</v>
      </c>
      <c r="G13" s="2" t="s">
        <v>82</v>
      </c>
      <c r="H13" s="2" t="s">
        <v>89</v>
      </c>
      <c r="I13" s="2">
        <v>10</v>
      </c>
      <c r="J13" s="4">
        <v>450</v>
      </c>
      <c r="K13" s="4">
        <v>4500</v>
      </c>
      <c r="L13" s="16">
        <v>2925</v>
      </c>
      <c r="M13" s="27">
        <f>Table2[[#This Row],[Total_Revenue_SAR]]-Table2[[#This Row],[Cost_SAR]]</f>
        <v>1575</v>
      </c>
      <c r="N13" s="36">
        <f>Table2[[#This Row],[Profit_SAR]]/Table2[[#This Row],[Total_Revenue_SAR]]</f>
        <v>0.35</v>
      </c>
      <c r="O13" t="str">
        <f>IF(Table2[[#This Row],[Profit_Margin%]]&gt;=40%,"High","Low")</f>
        <v>Low</v>
      </c>
    </row>
    <row r="14" spans="1:15" x14ac:dyDescent="0.3">
      <c r="A14" s="15" t="s">
        <v>116</v>
      </c>
      <c r="B14" s="6">
        <v>45073</v>
      </c>
      <c r="C14" s="5" t="s">
        <v>117</v>
      </c>
      <c r="D14" s="5" t="s">
        <v>159</v>
      </c>
      <c r="E14" s="5" t="s">
        <v>93</v>
      </c>
      <c r="F14" s="5" t="s">
        <v>112</v>
      </c>
      <c r="G14" s="5" t="s">
        <v>82</v>
      </c>
      <c r="H14" s="5" t="s">
        <v>118</v>
      </c>
      <c r="I14" s="5">
        <v>21</v>
      </c>
      <c r="J14" s="7">
        <v>45</v>
      </c>
      <c r="K14" s="7">
        <v>945</v>
      </c>
      <c r="L14" s="17">
        <v>614.25</v>
      </c>
      <c r="M14" s="27">
        <f>Table2[[#This Row],[Total_Revenue_SAR]]-Table2[[#This Row],[Cost_SAR]]</f>
        <v>330.75</v>
      </c>
      <c r="N14" s="36">
        <f>Table2[[#This Row],[Profit_SAR]]/Table2[[#This Row],[Total_Revenue_SAR]]</f>
        <v>0.35</v>
      </c>
      <c r="O14" t="str">
        <f>IF(Table2[[#This Row],[Profit_Margin%]]&gt;=40%,"High","Low")</f>
        <v>Low</v>
      </c>
    </row>
    <row r="15" spans="1:15" x14ac:dyDescent="0.3">
      <c r="A15" s="14" t="s">
        <v>119</v>
      </c>
      <c r="B15" s="3">
        <v>45068</v>
      </c>
      <c r="C15" s="2" t="s">
        <v>117</v>
      </c>
      <c r="D15" s="2" t="s">
        <v>159</v>
      </c>
      <c r="E15" s="2" t="s">
        <v>97</v>
      </c>
      <c r="F15" s="2" t="s">
        <v>112</v>
      </c>
      <c r="G15" s="2" t="s">
        <v>106</v>
      </c>
      <c r="H15" s="2" t="s">
        <v>120</v>
      </c>
      <c r="I15" s="2">
        <v>7</v>
      </c>
      <c r="J15" s="4">
        <v>620</v>
      </c>
      <c r="K15" s="4">
        <v>4340</v>
      </c>
      <c r="L15" s="16">
        <v>2604</v>
      </c>
      <c r="M15" s="27">
        <f>Table2[[#This Row],[Total_Revenue_SAR]]-Table2[[#This Row],[Cost_SAR]]</f>
        <v>1736</v>
      </c>
      <c r="N15" s="36">
        <f>Table2[[#This Row],[Profit_SAR]]/Table2[[#This Row],[Total_Revenue_SAR]]</f>
        <v>0.4</v>
      </c>
      <c r="O15" t="str">
        <f>IF(Table2[[#This Row],[Profit_Margin%]]&gt;=40%,"High","Low")</f>
        <v>High</v>
      </c>
    </row>
    <row r="16" spans="1:15" x14ac:dyDescent="0.3">
      <c r="A16" s="15" t="s">
        <v>121</v>
      </c>
      <c r="B16" s="6">
        <v>45064</v>
      </c>
      <c r="C16" s="5" t="s">
        <v>117</v>
      </c>
      <c r="D16" s="5" t="s">
        <v>159</v>
      </c>
      <c r="E16" s="5" t="s">
        <v>91</v>
      </c>
      <c r="F16" s="5" t="s">
        <v>105</v>
      </c>
      <c r="G16" s="5" t="s">
        <v>106</v>
      </c>
      <c r="H16" s="5" t="s">
        <v>122</v>
      </c>
      <c r="I16" s="5">
        <v>6</v>
      </c>
      <c r="J16" s="7">
        <v>380</v>
      </c>
      <c r="K16" s="7">
        <v>2280</v>
      </c>
      <c r="L16" s="17">
        <v>1368</v>
      </c>
      <c r="M16" s="27">
        <f>Table2[[#This Row],[Total_Revenue_SAR]]-Table2[[#This Row],[Cost_SAR]]</f>
        <v>912</v>
      </c>
      <c r="N16" s="36">
        <f>Table2[[#This Row],[Profit_SAR]]/Table2[[#This Row],[Total_Revenue_SAR]]</f>
        <v>0.4</v>
      </c>
      <c r="O16" t="str">
        <f>IF(Table2[[#This Row],[Profit_Margin%]]&gt;=40%,"High","Low")</f>
        <v>High</v>
      </c>
    </row>
    <row r="17" spans="1:15" x14ac:dyDescent="0.3">
      <c r="A17" s="14" t="s">
        <v>123</v>
      </c>
      <c r="B17" s="3">
        <v>45067</v>
      </c>
      <c r="C17" s="2" t="s">
        <v>117</v>
      </c>
      <c r="D17" s="2" t="s">
        <v>159</v>
      </c>
      <c r="E17" s="2" t="s">
        <v>93</v>
      </c>
      <c r="F17" s="2" t="s">
        <v>98</v>
      </c>
      <c r="G17" s="2" t="s">
        <v>102</v>
      </c>
      <c r="H17" s="2" t="s">
        <v>124</v>
      </c>
      <c r="I17" s="2">
        <v>9</v>
      </c>
      <c r="J17" s="4">
        <v>25</v>
      </c>
      <c r="K17" s="4">
        <v>225</v>
      </c>
      <c r="L17" s="16">
        <v>112.5</v>
      </c>
      <c r="M17" s="27">
        <f>Table2[[#This Row],[Total_Revenue_SAR]]-Table2[[#This Row],[Cost_SAR]]</f>
        <v>112.5</v>
      </c>
      <c r="N17" s="36">
        <f>Table2[[#This Row],[Profit_SAR]]/Table2[[#This Row],[Total_Revenue_SAR]]</f>
        <v>0.5</v>
      </c>
      <c r="O17" t="str">
        <f>IF(Table2[[#This Row],[Profit_Margin%]]&gt;=40%,"High","Low")</f>
        <v>High</v>
      </c>
    </row>
    <row r="18" spans="1:15" x14ac:dyDescent="0.3">
      <c r="A18" s="15" t="s">
        <v>125</v>
      </c>
      <c r="B18" s="6">
        <v>45071</v>
      </c>
      <c r="C18" s="5" t="s">
        <v>117</v>
      </c>
      <c r="D18" s="5" t="s">
        <v>159</v>
      </c>
      <c r="E18" s="5" t="s">
        <v>115</v>
      </c>
      <c r="F18" s="5" t="s">
        <v>112</v>
      </c>
      <c r="G18" s="5" t="s">
        <v>94</v>
      </c>
      <c r="H18" s="5" t="s">
        <v>126</v>
      </c>
      <c r="I18" s="5">
        <v>25</v>
      </c>
      <c r="J18" s="7">
        <v>320</v>
      </c>
      <c r="K18" s="7">
        <v>8000</v>
      </c>
      <c r="L18" s="17">
        <v>4960</v>
      </c>
      <c r="M18" s="27">
        <f>Table2[[#This Row],[Total_Revenue_SAR]]-Table2[[#This Row],[Cost_SAR]]</f>
        <v>3040</v>
      </c>
      <c r="N18" s="36">
        <f>Table2[[#This Row],[Profit_SAR]]/Table2[[#This Row],[Total_Revenue_SAR]]</f>
        <v>0.38</v>
      </c>
      <c r="O18" t="str">
        <f>IF(Table2[[#This Row],[Profit_Margin%]]&gt;=40%,"High","Low")</f>
        <v>Low</v>
      </c>
    </row>
    <row r="19" spans="1:15" x14ac:dyDescent="0.3">
      <c r="A19" s="14" t="s">
        <v>127</v>
      </c>
      <c r="B19" s="3">
        <v>45059</v>
      </c>
      <c r="C19" s="2" t="s">
        <v>117</v>
      </c>
      <c r="D19" s="2" t="s">
        <v>159</v>
      </c>
      <c r="E19" s="2" t="s">
        <v>115</v>
      </c>
      <c r="F19" s="2" t="s">
        <v>86</v>
      </c>
      <c r="G19" s="2" t="s">
        <v>82</v>
      </c>
      <c r="H19" s="2" t="s">
        <v>99</v>
      </c>
      <c r="I19" s="2">
        <v>11</v>
      </c>
      <c r="J19" s="4">
        <v>320</v>
      </c>
      <c r="K19" s="4">
        <v>3520</v>
      </c>
      <c r="L19" s="16">
        <v>2288</v>
      </c>
      <c r="M19" s="27">
        <f>Table2[[#This Row],[Total_Revenue_SAR]]-Table2[[#This Row],[Cost_SAR]]</f>
        <v>1232</v>
      </c>
      <c r="N19" s="36">
        <f>Table2[[#This Row],[Profit_SAR]]/Table2[[#This Row],[Total_Revenue_SAR]]</f>
        <v>0.35</v>
      </c>
      <c r="O19" t="str">
        <f>IF(Table2[[#This Row],[Profit_Margin%]]&gt;=40%,"High","Low")</f>
        <v>Low</v>
      </c>
    </row>
    <row r="20" spans="1:15" x14ac:dyDescent="0.3">
      <c r="A20" s="15" t="s">
        <v>128</v>
      </c>
      <c r="B20" s="6">
        <v>45057</v>
      </c>
      <c r="C20" s="5" t="s">
        <v>117</v>
      </c>
      <c r="D20" s="5" t="s">
        <v>159</v>
      </c>
      <c r="E20" s="5" t="s">
        <v>85</v>
      </c>
      <c r="F20" s="5" t="s">
        <v>81</v>
      </c>
      <c r="G20" s="5" t="s">
        <v>106</v>
      </c>
      <c r="H20" s="5" t="s">
        <v>122</v>
      </c>
      <c r="I20" s="5">
        <v>23</v>
      </c>
      <c r="J20" s="7">
        <v>380</v>
      </c>
      <c r="K20" s="7">
        <v>8740</v>
      </c>
      <c r="L20" s="17">
        <v>5244</v>
      </c>
      <c r="M20" s="27">
        <f>Table2[[#This Row],[Total_Revenue_SAR]]-Table2[[#This Row],[Cost_SAR]]</f>
        <v>3496</v>
      </c>
      <c r="N20" s="36">
        <f>Table2[[#This Row],[Profit_SAR]]/Table2[[#This Row],[Total_Revenue_SAR]]</f>
        <v>0.4</v>
      </c>
      <c r="O20" t="str">
        <f>IF(Table2[[#This Row],[Profit_Margin%]]&gt;=40%,"High","Low")</f>
        <v>High</v>
      </c>
    </row>
    <row r="21" spans="1:15" x14ac:dyDescent="0.3">
      <c r="A21" s="14" t="s">
        <v>129</v>
      </c>
      <c r="B21" s="3">
        <v>45051</v>
      </c>
      <c r="C21" s="2" t="s">
        <v>117</v>
      </c>
      <c r="D21" s="2" t="s">
        <v>159</v>
      </c>
      <c r="E21" s="2" t="s">
        <v>91</v>
      </c>
      <c r="F21" s="2" t="s">
        <v>98</v>
      </c>
      <c r="G21" s="2" t="s">
        <v>102</v>
      </c>
      <c r="H21" s="2" t="s">
        <v>130</v>
      </c>
      <c r="I21" s="2">
        <v>15</v>
      </c>
      <c r="J21" s="4">
        <v>12</v>
      </c>
      <c r="K21" s="4">
        <v>180</v>
      </c>
      <c r="L21" s="16">
        <v>90</v>
      </c>
      <c r="M21" s="27">
        <f>Table2[[#This Row],[Total_Revenue_SAR]]-Table2[[#This Row],[Cost_SAR]]</f>
        <v>90</v>
      </c>
      <c r="N21" s="36">
        <f>Table2[[#This Row],[Profit_SAR]]/Table2[[#This Row],[Total_Revenue_SAR]]</f>
        <v>0.5</v>
      </c>
      <c r="O21" t="str">
        <f>IF(Table2[[#This Row],[Profit_Margin%]]&gt;=40%,"High","Low")</f>
        <v>High</v>
      </c>
    </row>
    <row r="22" spans="1:15" x14ac:dyDescent="0.3">
      <c r="A22" s="15" t="s">
        <v>131</v>
      </c>
      <c r="B22" s="6">
        <v>45064</v>
      </c>
      <c r="C22" s="5" t="s">
        <v>117</v>
      </c>
      <c r="D22" s="5" t="s">
        <v>159</v>
      </c>
      <c r="E22" s="5" t="s">
        <v>91</v>
      </c>
      <c r="F22" s="5" t="s">
        <v>81</v>
      </c>
      <c r="G22" s="5" t="s">
        <v>106</v>
      </c>
      <c r="H22" s="5" t="s">
        <v>120</v>
      </c>
      <c r="I22" s="5">
        <v>18</v>
      </c>
      <c r="J22" s="7">
        <v>620</v>
      </c>
      <c r="K22" s="7">
        <v>11160</v>
      </c>
      <c r="L22" s="17">
        <v>6696</v>
      </c>
      <c r="M22" s="27">
        <f>Table2[[#This Row],[Total_Revenue_SAR]]-Table2[[#This Row],[Cost_SAR]]</f>
        <v>4464</v>
      </c>
      <c r="N22" s="36">
        <f>Table2[[#This Row],[Profit_SAR]]/Table2[[#This Row],[Total_Revenue_SAR]]</f>
        <v>0.4</v>
      </c>
      <c r="O22" t="str">
        <f>IF(Table2[[#This Row],[Profit_Margin%]]&gt;=40%,"High","Low")</f>
        <v>High</v>
      </c>
    </row>
    <row r="23" spans="1:15" x14ac:dyDescent="0.3">
      <c r="A23" s="14" t="s">
        <v>132</v>
      </c>
      <c r="B23" s="3">
        <v>45058</v>
      </c>
      <c r="C23" s="2" t="s">
        <v>117</v>
      </c>
      <c r="D23" s="2" t="s">
        <v>159</v>
      </c>
      <c r="E23" s="2" t="s">
        <v>85</v>
      </c>
      <c r="F23" s="2" t="s">
        <v>98</v>
      </c>
      <c r="G23" s="2" t="s">
        <v>106</v>
      </c>
      <c r="H23" s="2" t="s">
        <v>113</v>
      </c>
      <c r="I23" s="2">
        <v>13</v>
      </c>
      <c r="J23" s="4">
        <v>175</v>
      </c>
      <c r="K23" s="4">
        <v>2275</v>
      </c>
      <c r="L23" s="16">
        <v>1365</v>
      </c>
      <c r="M23" s="27">
        <f>Table2[[#This Row],[Total_Revenue_SAR]]-Table2[[#This Row],[Cost_SAR]]</f>
        <v>910</v>
      </c>
      <c r="N23" s="36">
        <f>Table2[[#This Row],[Profit_SAR]]/Table2[[#This Row],[Total_Revenue_SAR]]</f>
        <v>0.4</v>
      </c>
      <c r="O23" t="str">
        <f>IF(Table2[[#This Row],[Profit_Margin%]]&gt;=40%,"High","Low")</f>
        <v>High</v>
      </c>
    </row>
    <row r="24" spans="1:15" x14ac:dyDescent="0.3">
      <c r="A24" s="15" t="s">
        <v>133</v>
      </c>
      <c r="B24" s="6">
        <v>45071</v>
      </c>
      <c r="C24" s="5" t="s">
        <v>117</v>
      </c>
      <c r="D24" s="5" t="s">
        <v>159</v>
      </c>
      <c r="E24" s="5" t="s">
        <v>93</v>
      </c>
      <c r="F24" s="5" t="s">
        <v>105</v>
      </c>
      <c r="G24" s="5" t="s">
        <v>102</v>
      </c>
      <c r="H24" s="5" t="s">
        <v>124</v>
      </c>
      <c r="I24" s="5">
        <v>3</v>
      </c>
      <c r="J24" s="7">
        <v>25</v>
      </c>
      <c r="K24" s="7">
        <v>75</v>
      </c>
      <c r="L24" s="17">
        <v>37.5</v>
      </c>
      <c r="M24" s="27">
        <f>Table2[[#This Row],[Total_Revenue_SAR]]-Table2[[#This Row],[Cost_SAR]]</f>
        <v>37.5</v>
      </c>
      <c r="N24" s="36">
        <f>Table2[[#This Row],[Profit_SAR]]/Table2[[#This Row],[Total_Revenue_SAR]]</f>
        <v>0.5</v>
      </c>
      <c r="O24" t="str">
        <f>IF(Table2[[#This Row],[Profit_Margin%]]&gt;=40%,"High","Low")</f>
        <v>High</v>
      </c>
    </row>
    <row r="25" spans="1:15" x14ac:dyDescent="0.3">
      <c r="A25" s="14" t="s">
        <v>134</v>
      </c>
      <c r="B25" s="3">
        <v>45072</v>
      </c>
      <c r="C25" s="2" t="s">
        <v>117</v>
      </c>
      <c r="D25" s="2" t="s">
        <v>159</v>
      </c>
      <c r="E25" s="2" t="s">
        <v>91</v>
      </c>
      <c r="F25" s="2" t="s">
        <v>81</v>
      </c>
      <c r="G25" s="2" t="s">
        <v>82</v>
      </c>
      <c r="H25" s="2" t="s">
        <v>89</v>
      </c>
      <c r="I25" s="2">
        <v>6</v>
      </c>
      <c r="J25" s="4">
        <v>450</v>
      </c>
      <c r="K25" s="4">
        <v>2700</v>
      </c>
      <c r="L25" s="16">
        <v>1755</v>
      </c>
      <c r="M25" s="27">
        <f>Table2[[#This Row],[Total_Revenue_SAR]]-Table2[[#This Row],[Cost_SAR]]</f>
        <v>945</v>
      </c>
      <c r="N25" s="36">
        <f>Table2[[#This Row],[Profit_SAR]]/Table2[[#This Row],[Total_Revenue_SAR]]</f>
        <v>0.35</v>
      </c>
      <c r="O25" t="str">
        <f>IF(Table2[[#This Row],[Profit_Margin%]]&gt;=40%,"High","Low")</f>
        <v>Low</v>
      </c>
    </row>
    <row r="26" spans="1:15" x14ac:dyDescent="0.3">
      <c r="A26" s="15" t="s">
        <v>135</v>
      </c>
      <c r="B26" s="6">
        <v>45066</v>
      </c>
      <c r="C26" s="5" t="s">
        <v>117</v>
      </c>
      <c r="D26" s="5" t="s">
        <v>159</v>
      </c>
      <c r="E26" s="5" t="s">
        <v>93</v>
      </c>
      <c r="F26" s="5" t="s">
        <v>86</v>
      </c>
      <c r="G26" s="5" t="s">
        <v>109</v>
      </c>
      <c r="H26" s="5" t="s">
        <v>110</v>
      </c>
      <c r="I26" s="5">
        <v>13</v>
      </c>
      <c r="J26" s="7">
        <v>19</v>
      </c>
      <c r="K26" s="7">
        <v>247</v>
      </c>
      <c r="L26" s="17">
        <v>111.15</v>
      </c>
      <c r="M26" s="27">
        <f>Table2[[#This Row],[Total_Revenue_SAR]]-Table2[[#This Row],[Cost_SAR]]</f>
        <v>135.85</v>
      </c>
      <c r="N26" s="36">
        <f>Table2[[#This Row],[Profit_SAR]]/Table2[[#This Row],[Total_Revenue_SAR]]</f>
        <v>0.54999999999999993</v>
      </c>
      <c r="O26" t="str">
        <f>IF(Table2[[#This Row],[Profit_Margin%]]&gt;=40%,"High","Low")</f>
        <v>High</v>
      </c>
    </row>
    <row r="27" spans="1:15" x14ac:dyDescent="0.3">
      <c r="A27" s="14" t="s">
        <v>136</v>
      </c>
      <c r="B27" s="3">
        <v>45099</v>
      </c>
      <c r="C27" s="2" t="s">
        <v>137</v>
      </c>
      <c r="D27" s="2" t="s">
        <v>159</v>
      </c>
      <c r="E27" s="2" t="s">
        <v>115</v>
      </c>
      <c r="F27" s="2" t="s">
        <v>105</v>
      </c>
      <c r="G27" s="2" t="s">
        <v>94</v>
      </c>
      <c r="H27" s="2" t="s">
        <v>138</v>
      </c>
      <c r="I27" s="2">
        <v>1</v>
      </c>
      <c r="J27" s="4">
        <v>280</v>
      </c>
      <c r="K27" s="4">
        <v>280</v>
      </c>
      <c r="L27" s="16">
        <v>173.6</v>
      </c>
      <c r="M27" s="27">
        <f>Table2[[#This Row],[Total_Revenue_SAR]]-Table2[[#This Row],[Cost_SAR]]</f>
        <v>106.4</v>
      </c>
      <c r="N27" s="36">
        <f>Table2[[#This Row],[Profit_SAR]]/Table2[[#This Row],[Total_Revenue_SAR]]</f>
        <v>0.38</v>
      </c>
      <c r="O27" t="str">
        <f>IF(Table2[[#This Row],[Profit_Margin%]]&gt;=40%,"High","Low")</f>
        <v>Low</v>
      </c>
    </row>
    <row r="28" spans="1:15" x14ac:dyDescent="0.3">
      <c r="A28" s="15" t="s">
        <v>139</v>
      </c>
      <c r="B28" s="6">
        <v>45088</v>
      </c>
      <c r="C28" s="5" t="s">
        <v>137</v>
      </c>
      <c r="D28" s="5" t="s">
        <v>159</v>
      </c>
      <c r="E28" s="5" t="s">
        <v>115</v>
      </c>
      <c r="F28" s="5" t="s">
        <v>112</v>
      </c>
      <c r="G28" s="5" t="s">
        <v>82</v>
      </c>
      <c r="H28" s="5" t="s">
        <v>87</v>
      </c>
      <c r="I28" s="5">
        <v>21</v>
      </c>
      <c r="J28" s="7">
        <v>120</v>
      </c>
      <c r="K28" s="7">
        <v>2520</v>
      </c>
      <c r="L28" s="17">
        <v>1638</v>
      </c>
      <c r="M28" s="27">
        <f>Table2[[#This Row],[Total_Revenue_SAR]]-Table2[[#This Row],[Cost_SAR]]</f>
        <v>882</v>
      </c>
      <c r="N28" s="36">
        <f>Table2[[#This Row],[Profit_SAR]]/Table2[[#This Row],[Total_Revenue_SAR]]</f>
        <v>0.35</v>
      </c>
      <c r="O28" t="str">
        <f>IF(Table2[[#This Row],[Profit_Margin%]]&gt;=40%,"High","Low")</f>
        <v>Low</v>
      </c>
    </row>
    <row r="29" spans="1:15" x14ac:dyDescent="0.3">
      <c r="A29" s="14" t="s">
        <v>140</v>
      </c>
      <c r="B29" s="3">
        <v>45078</v>
      </c>
      <c r="C29" s="2" t="s">
        <v>137</v>
      </c>
      <c r="D29" s="2" t="s">
        <v>159</v>
      </c>
      <c r="E29" s="2" t="s">
        <v>80</v>
      </c>
      <c r="F29" s="2" t="s">
        <v>98</v>
      </c>
      <c r="G29" s="2" t="s">
        <v>82</v>
      </c>
      <c r="H29" s="2" t="s">
        <v>83</v>
      </c>
      <c r="I29" s="2">
        <v>15</v>
      </c>
      <c r="J29" s="4">
        <v>85</v>
      </c>
      <c r="K29" s="4">
        <v>1275</v>
      </c>
      <c r="L29" s="16">
        <v>828.75</v>
      </c>
      <c r="M29" s="27">
        <f>Table2[[#This Row],[Total_Revenue_SAR]]-Table2[[#This Row],[Cost_SAR]]</f>
        <v>446.25</v>
      </c>
      <c r="N29" s="36">
        <f>Table2[[#This Row],[Profit_SAR]]/Table2[[#This Row],[Total_Revenue_SAR]]</f>
        <v>0.35</v>
      </c>
      <c r="O29" t="str">
        <f>IF(Table2[[#This Row],[Profit_Margin%]]&gt;=40%,"High","Low")</f>
        <v>Low</v>
      </c>
    </row>
    <row r="30" spans="1:15" x14ac:dyDescent="0.3">
      <c r="A30" s="15" t="s">
        <v>141</v>
      </c>
      <c r="B30" s="6">
        <v>45105</v>
      </c>
      <c r="C30" s="5" t="s">
        <v>137</v>
      </c>
      <c r="D30" s="5" t="s">
        <v>159</v>
      </c>
      <c r="E30" s="5" t="s">
        <v>85</v>
      </c>
      <c r="F30" s="5" t="s">
        <v>81</v>
      </c>
      <c r="G30" s="5" t="s">
        <v>106</v>
      </c>
      <c r="H30" s="5" t="s">
        <v>113</v>
      </c>
      <c r="I30" s="5">
        <v>4</v>
      </c>
      <c r="J30" s="7">
        <v>175</v>
      </c>
      <c r="K30" s="7">
        <v>700</v>
      </c>
      <c r="L30" s="17">
        <v>420</v>
      </c>
      <c r="M30" s="27">
        <f>Table2[[#This Row],[Total_Revenue_SAR]]-Table2[[#This Row],[Cost_SAR]]</f>
        <v>280</v>
      </c>
      <c r="N30" s="36">
        <f>Table2[[#This Row],[Profit_SAR]]/Table2[[#This Row],[Total_Revenue_SAR]]</f>
        <v>0.4</v>
      </c>
      <c r="O30" t="str">
        <f>IF(Table2[[#This Row],[Profit_Margin%]]&gt;=40%,"High","Low")</f>
        <v>High</v>
      </c>
    </row>
    <row r="31" spans="1:15" x14ac:dyDescent="0.3">
      <c r="A31" s="14" t="s">
        <v>142</v>
      </c>
      <c r="B31" s="3">
        <v>45089</v>
      </c>
      <c r="C31" s="2" t="s">
        <v>137</v>
      </c>
      <c r="D31" s="2" t="s">
        <v>159</v>
      </c>
      <c r="E31" s="2" t="s">
        <v>80</v>
      </c>
      <c r="F31" s="2" t="s">
        <v>105</v>
      </c>
      <c r="G31" s="2" t="s">
        <v>106</v>
      </c>
      <c r="H31" s="2" t="s">
        <v>113</v>
      </c>
      <c r="I31" s="2">
        <v>5</v>
      </c>
      <c r="J31" s="4">
        <v>175</v>
      </c>
      <c r="K31" s="4">
        <v>875</v>
      </c>
      <c r="L31" s="16">
        <v>525</v>
      </c>
      <c r="M31" s="27">
        <f>Table2[[#This Row],[Total_Revenue_SAR]]-Table2[[#This Row],[Cost_SAR]]</f>
        <v>350</v>
      </c>
      <c r="N31" s="36">
        <f>Table2[[#This Row],[Profit_SAR]]/Table2[[#This Row],[Total_Revenue_SAR]]</f>
        <v>0.4</v>
      </c>
      <c r="O31" t="str">
        <f>IF(Table2[[#This Row],[Profit_Margin%]]&gt;=40%,"High","Low")</f>
        <v>High</v>
      </c>
    </row>
    <row r="32" spans="1:15" x14ac:dyDescent="0.3">
      <c r="A32" s="15" t="s">
        <v>143</v>
      </c>
      <c r="B32" s="6">
        <v>45088</v>
      </c>
      <c r="C32" s="5" t="s">
        <v>137</v>
      </c>
      <c r="D32" s="5" t="s">
        <v>159</v>
      </c>
      <c r="E32" s="5" t="s">
        <v>101</v>
      </c>
      <c r="F32" s="5" t="s">
        <v>105</v>
      </c>
      <c r="G32" s="5" t="s">
        <v>102</v>
      </c>
      <c r="H32" s="5" t="s">
        <v>144</v>
      </c>
      <c r="I32" s="5">
        <v>20</v>
      </c>
      <c r="J32" s="7">
        <v>15</v>
      </c>
      <c r="K32" s="7">
        <v>300</v>
      </c>
      <c r="L32" s="17">
        <v>150</v>
      </c>
      <c r="M32" s="27">
        <f>Table2[[#This Row],[Total_Revenue_SAR]]-Table2[[#This Row],[Cost_SAR]]</f>
        <v>150</v>
      </c>
      <c r="N32" s="36">
        <f>Table2[[#This Row],[Profit_SAR]]/Table2[[#This Row],[Total_Revenue_SAR]]</f>
        <v>0.5</v>
      </c>
      <c r="O32" t="str">
        <f>IF(Table2[[#This Row],[Profit_Margin%]]&gt;=40%,"High","Low")</f>
        <v>High</v>
      </c>
    </row>
    <row r="33" spans="1:15" x14ac:dyDescent="0.3">
      <c r="A33" s="14" t="s">
        <v>145</v>
      </c>
      <c r="B33" s="3">
        <v>45085</v>
      </c>
      <c r="C33" s="2" t="s">
        <v>137</v>
      </c>
      <c r="D33" s="2" t="s">
        <v>159</v>
      </c>
      <c r="E33" s="2" t="s">
        <v>97</v>
      </c>
      <c r="F33" s="2" t="s">
        <v>86</v>
      </c>
      <c r="G33" s="2" t="s">
        <v>109</v>
      </c>
      <c r="H33" s="2" t="s">
        <v>146</v>
      </c>
      <c r="I33" s="2">
        <v>10</v>
      </c>
      <c r="J33" s="4">
        <v>22</v>
      </c>
      <c r="K33" s="4">
        <v>220</v>
      </c>
      <c r="L33" s="16">
        <v>99</v>
      </c>
      <c r="M33" s="27">
        <f>Table2[[#This Row],[Total_Revenue_SAR]]-Table2[[#This Row],[Cost_SAR]]</f>
        <v>121</v>
      </c>
      <c r="N33" s="36">
        <f>Table2[[#This Row],[Profit_SAR]]/Table2[[#This Row],[Total_Revenue_SAR]]</f>
        <v>0.55000000000000004</v>
      </c>
      <c r="O33" t="str">
        <f>IF(Table2[[#This Row],[Profit_Margin%]]&gt;=40%,"High","Low")</f>
        <v>High</v>
      </c>
    </row>
    <row r="34" spans="1:15" x14ac:dyDescent="0.3">
      <c r="A34" s="15" t="s">
        <v>147</v>
      </c>
      <c r="B34" s="6">
        <v>45101</v>
      </c>
      <c r="C34" s="5" t="s">
        <v>137</v>
      </c>
      <c r="D34" s="5" t="s">
        <v>159</v>
      </c>
      <c r="E34" s="5" t="s">
        <v>101</v>
      </c>
      <c r="F34" s="5" t="s">
        <v>105</v>
      </c>
      <c r="G34" s="5" t="s">
        <v>82</v>
      </c>
      <c r="H34" s="5" t="s">
        <v>99</v>
      </c>
      <c r="I34" s="5">
        <v>3</v>
      </c>
      <c r="J34" s="7">
        <v>320</v>
      </c>
      <c r="K34" s="7">
        <v>960</v>
      </c>
      <c r="L34" s="17">
        <v>624</v>
      </c>
      <c r="M34" s="27">
        <f>Table2[[#This Row],[Total_Revenue_SAR]]-Table2[[#This Row],[Cost_SAR]]</f>
        <v>336</v>
      </c>
      <c r="N34" s="36">
        <f>Table2[[#This Row],[Profit_SAR]]/Table2[[#This Row],[Total_Revenue_SAR]]</f>
        <v>0.35</v>
      </c>
      <c r="O34" t="str">
        <f>IF(Table2[[#This Row],[Profit_Margin%]]&gt;=40%,"High","Low")</f>
        <v>Low</v>
      </c>
    </row>
    <row r="35" spans="1:15" x14ac:dyDescent="0.3">
      <c r="A35" s="14" t="s">
        <v>148</v>
      </c>
      <c r="B35" s="3">
        <v>45082</v>
      </c>
      <c r="C35" s="2" t="s">
        <v>137</v>
      </c>
      <c r="D35" s="2" t="s">
        <v>159</v>
      </c>
      <c r="E35" s="2" t="s">
        <v>115</v>
      </c>
      <c r="F35" s="2" t="s">
        <v>105</v>
      </c>
      <c r="G35" s="2" t="s">
        <v>109</v>
      </c>
      <c r="H35" s="2" t="s">
        <v>146</v>
      </c>
      <c r="I35" s="2">
        <v>5</v>
      </c>
      <c r="J35" s="4">
        <v>22</v>
      </c>
      <c r="K35" s="4">
        <v>110</v>
      </c>
      <c r="L35" s="16">
        <v>49.5</v>
      </c>
      <c r="M35" s="27">
        <f>Table2[[#This Row],[Total_Revenue_SAR]]-Table2[[#This Row],[Cost_SAR]]</f>
        <v>60.5</v>
      </c>
      <c r="N35" s="36">
        <f>Table2[[#This Row],[Profit_SAR]]/Table2[[#This Row],[Total_Revenue_SAR]]</f>
        <v>0.55000000000000004</v>
      </c>
      <c r="O35" t="str">
        <f>IF(Table2[[#This Row],[Profit_Margin%]]&gt;=40%,"High","Low")</f>
        <v>High</v>
      </c>
    </row>
    <row r="36" spans="1:15" x14ac:dyDescent="0.3">
      <c r="A36" s="15" t="s">
        <v>149</v>
      </c>
      <c r="B36" s="6">
        <v>45105</v>
      </c>
      <c r="C36" s="5" t="s">
        <v>137</v>
      </c>
      <c r="D36" s="5" t="s">
        <v>159</v>
      </c>
      <c r="E36" s="5" t="s">
        <v>97</v>
      </c>
      <c r="F36" s="5" t="s">
        <v>81</v>
      </c>
      <c r="G36" s="5" t="s">
        <v>109</v>
      </c>
      <c r="H36" s="5" t="s">
        <v>110</v>
      </c>
      <c r="I36" s="5">
        <v>17</v>
      </c>
      <c r="J36" s="7">
        <v>19</v>
      </c>
      <c r="K36" s="7">
        <v>323</v>
      </c>
      <c r="L36" s="17">
        <v>145.35</v>
      </c>
      <c r="M36" s="27">
        <f>Table2[[#This Row],[Total_Revenue_SAR]]-Table2[[#This Row],[Cost_SAR]]</f>
        <v>177.65</v>
      </c>
      <c r="N36" s="36">
        <f>Table2[[#This Row],[Profit_SAR]]/Table2[[#This Row],[Total_Revenue_SAR]]</f>
        <v>0.55000000000000004</v>
      </c>
      <c r="O36" t="str">
        <f>IF(Table2[[#This Row],[Profit_Margin%]]&gt;=40%,"High","Low")</f>
        <v>High</v>
      </c>
    </row>
    <row r="37" spans="1:15" x14ac:dyDescent="0.3">
      <c r="A37" s="14" t="s">
        <v>150</v>
      </c>
      <c r="B37" s="3">
        <v>45101</v>
      </c>
      <c r="C37" s="2" t="s">
        <v>137</v>
      </c>
      <c r="D37" s="2" t="s">
        <v>159</v>
      </c>
      <c r="E37" s="2" t="s">
        <v>85</v>
      </c>
      <c r="F37" s="2" t="s">
        <v>81</v>
      </c>
      <c r="G37" s="2" t="s">
        <v>94</v>
      </c>
      <c r="H37" s="2" t="s">
        <v>95</v>
      </c>
      <c r="I37" s="2">
        <v>25</v>
      </c>
      <c r="J37" s="4">
        <v>175</v>
      </c>
      <c r="K37" s="4">
        <v>4375</v>
      </c>
      <c r="L37" s="16">
        <v>2712.5</v>
      </c>
      <c r="M37" s="27">
        <f>Table2[[#This Row],[Total_Revenue_SAR]]-Table2[[#This Row],[Cost_SAR]]</f>
        <v>1662.5</v>
      </c>
      <c r="N37" s="36">
        <f>Table2[[#This Row],[Profit_SAR]]/Table2[[#This Row],[Total_Revenue_SAR]]</f>
        <v>0.38</v>
      </c>
      <c r="O37" t="str">
        <f>IF(Table2[[#This Row],[Profit_Margin%]]&gt;=40%,"High","Low")</f>
        <v>Low</v>
      </c>
    </row>
    <row r="38" spans="1:15" x14ac:dyDescent="0.3">
      <c r="A38" s="15" t="s">
        <v>151</v>
      </c>
      <c r="B38" s="6">
        <v>45089</v>
      </c>
      <c r="C38" s="5" t="s">
        <v>137</v>
      </c>
      <c r="D38" s="5" t="s">
        <v>159</v>
      </c>
      <c r="E38" s="5" t="s">
        <v>91</v>
      </c>
      <c r="F38" s="5" t="s">
        <v>98</v>
      </c>
      <c r="G38" s="5" t="s">
        <v>102</v>
      </c>
      <c r="H38" s="5" t="s">
        <v>103</v>
      </c>
      <c r="I38" s="5">
        <v>21</v>
      </c>
      <c r="J38" s="7">
        <v>35</v>
      </c>
      <c r="K38" s="7">
        <v>735</v>
      </c>
      <c r="L38" s="17">
        <v>367.5</v>
      </c>
      <c r="M38" s="27">
        <f>Table2[[#This Row],[Total_Revenue_SAR]]-Table2[[#This Row],[Cost_SAR]]</f>
        <v>367.5</v>
      </c>
      <c r="N38" s="36">
        <f>Table2[[#This Row],[Profit_SAR]]/Table2[[#This Row],[Total_Revenue_SAR]]</f>
        <v>0.5</v>
      </c>
      <c r="O38" t="str">
        <f>IF(Table2[[#This Row],[Profit_Margin%]]&gt;=40%,"High","Low")</f>
        <v>High</v>
      </c>
    </row>
    <row r="39" spans="1:15" x14ac:dyDescent="0.3">
      <c r="A39" s="14" t="s">
        <v>152</v>
      </c>
      <c r="B39" s="3">
        <v>45085</v>
      </c>
      <c r="C39" s="2" t="s">
        <v>137</v>
      </c>
      <c r="D39" s="2" t="s">
        <v>159</v>
      </c>
      <c r="E39" s="2" t="s">
        <v>101</v>
      </c>
      <c r="F39" s="2" t="s">
        <v>98</v>
      </c>
      <c r="G39" s="2" t="s">
        <v>109</v>
      </c>
      <c r="H39" s="2" t="s">
        <v>110</v>
      </c>
      <c r="I39" s="2">
        <v>8</v>
      </c>
      <c r="J39" s="4">
        <v>19</v>
      </c>
      <c r="K39" s="4">
        <v>152</v>
      </c>
      <c r="L39" s="16">
        <v>68.400000000000006</v>
      </c>
      <c r="M39" s="27">
        <f>Table2[[#This Row],[Total_Revenue_SAR]]-Table2[[#This Row],[Cost_SAR]]</f>
        <v>83.6</v>
      </c>
      <c r="N39" s="36">
        <f>Table2[[#This Row],[Profit_SAR]]/Table2[[#This Row],[Total_Revenue_SAR]]</f>
        <v>0.54999999999999993</v>
      </c>
      <c r="O39" t="str">
        <f>IF(Table2[[#This Row],[Profit_Margin%]]&gt;=40%,"High","Low")</f>
        <v>High</v>
      </c>
    </row>
    <row r="40" spans="1:15" x14ac:dyDescent="0.3">
      <c r="A40" s="15" t="s">
        <v>153</v>
      </c>
      <c r="B40" s="6">
        <v>45085</v>
      </c>
      <c r="C40" s="5" t="s">
        <v>137</v>
      </c>
      <c r="D40" s="5" t="s">
        <v>159</v>
      </c>
      <c r="E40" s="5" t="s">
        <v>85</v>
      </c>
      <c r="F40" s="5" t="s">
        <v>86</v>
      </c>
      <c r="G40" s="5" t="s">
        <v>82</v>
      </c>
      <c r="H40" s="5" t="s">
        <v>83</v>
      </c>
      <c r="I40" s="5">
        <v>18</v>
      </c>
      <c r="J40" s="7">
        <v>85</v>
      </c>
      <c r="K40" s="7">
        <v>1530</v>
      </c>
      <c r="L40" s="17">
        <v>994.5</v>
      </c>
      <c r="M40" s="27">
        <f>Table2[[#This Row],[Total_Revenue_SAR]]-Table2[[#This Row],[Cost_SAR]]</f>
        <v>535.5</v>
      </c>
      <c r="N40" s="36">
        <f>Table2[[#This Row],[Profit_SAR]]/Table2[[#This Row],[Total_Revenue_SAR]]</f>
        <v>0.35</v>
      </c>
      <c r="O40" t="str">
        <f>IF(Table2[[#This Row],[Profit_Margin%]]&gt;=40%,"High","Low")</f>
        <v>Low</v>
      </c>
    </row>
    <row r="41" spans="1:15" x14ac:dyDescent="0.3">
      <c r="A41" s="14" t="s">
        <v>154</v>
      </c>
      <c r="B41" s="3">
        <v>45098</v>
      </c>
      <c r="C41" s="2" t="s">
        <v>137</v>
      </c>
      <c r="D41" s="2" t="s">
        <v>159</v>
      </c>
      <c r="E41" s="2" t="s">
        <v>101</v>
      </c>
      <c r="F41" s="2" t="s">
        <v>86</v>
      </c>
      <c r="G41" s="2" t="s">
        <v>94</v>
      </c>
      <c r="H41" s="2" t="s">
        <v>126</v>
      </c>
      <c r="I41" s="2">
        <v>23</v>
      </c>
      <c r="J41" s="4">
        <v>320</v>
      </c>
      <c r="K41" s="4">
        <v>7360</v>
      </c>
      <c r="L41" s="16">
        <v>4563.2</v>
      </c>
      <c r="M41" s="27">
        <f>Table2[[#This Row],[Total_Revenue_SAR]]-Table2[[#This Row],[Cost_SAR]]</f>
        <v>2796.8</v>
      </c>
      <c r="N41" s="36">
        <f>Table2[[#This Row],[Profit_SAR]]/Table2[[#This Row],[Total_Revenue_SAR]]</f>
        <v>0.38</v>
      </c>
      <c r="O41" t="str">
        <f>IF(Table2[[#This Row],[Profit_Margin%]]&gt;=40%,"High","Low")</f>
        <v>Low</v>
      </c>
    </row>
    <row r="42" spans="1:15" x14ac:dyDescent="0.3">
      <c r="A42" s="15" t="s">
        <v>155</v>
      </c>
      <c r="B42" s="6">
        <v>45080</v>
      </c>
      <c r="C42" s="5" t="s">
        <v>137</v>
      </c>
      <c r="D42" s="5" t="s">
        <v>159</v>
      </c>
      <c r="E42" s="5" t="s">
        <v>101</v>
      </c>
      <c r="F42" s="5" t="s">
        <v>86</v>
      </c>
      <c r="G42" s="5" t="s">
        <v>82</v>
      </c>
      <c r="H42" s="5" t="s">
        <v>99</v>
      </c>
      <c r="I42" s="5">
        <v>11</v>
      </c>
      <c r="J42" s="7">
        <v>320</v>
      </c>
      <c r="K42" s="7">
        <v>3520</v>
      </c>
      <c r="L42" s="17">
        <v>2288</v>
      </c>
      <c r="M42" s="27">
        <f>Table2[[#This Row],[Total_Revenue_SAR]]-Table2[[#This Row],[Cost_SAR]]</f>
        <v>1232</v>
      </c>
      <c r="N42" s="36">
        <f>Table2[[#This Row],[Profit_SAR]]/Table2[[#This Row],[Total_Revenue_SAR]]</f>
        <v>0.35</v>
      </c>
      <c r="O42" t="str">
        <f>IF(Table2[[#This Row],[Profit_Margin%]]&gt;=40%,"High","Low")</f>
        <v>Low</v>
      </c>
    </row>
    <row r="43" spans="1:15" x14ac:dyDescent="0.3">
      <c r="A43" s="14" t="s">
        <v>156</v>
      </c>
      <c r="B43" s="3">
        <v>45084</v>
      </c>
      <c r="C43" s="2" t="s">
        <v>137</v>
      </c>
      <c r="D43" s="2" t="s">
        <v>159</v>
      </c>
      <c r="E43" s="2" t="s">
        <v>91</v>
      </c>
      <c r="F43" s="2" t="s">
        <v>112</v>
      </c>
      <c r="G43" s="2" t="s">
        <v>94</v>
      </c>
      <c r="H43" s="2" t="s">
        <v>126</v>
      </c>
      <c r="I43" s="2">
        <v>16</v>
      </c>
      <c r="J43" s="4">
        <v>320</v>
      </c>
      <c r="K43" s="4">
        <v>5120</v>
      </c>
      <c r="L43" s="16">
        <v>3174.4</v>
      </c>
      <c r="M43" s="27">
        <f>Table2[[#This Row],[Total_Revenue_SAR]]-Table2[[#This Row],[Cost_SAR]]</f>
        <v>1945.6</v>
      </c>
      <c r="N43" s="36">
        <f>Table2[[#This Row],[Profit_SAR]]/Table2[[#This Row],[Total_Revenue_SAR]]</f>
        <v>0.38</v>
      </c>
      <c r="O43" t="str">
        <f>IF(Table2[[#This Row],[Profit_Margin%]]&gt;=40%,"High","Low")</f>
        <v>Low</v>
      </c>
    </row>
    <row r="44" spans="1:15" x14ac:dyDescent="0.3">
      <c r="A44" s="15" t="s">
        <v>157</v>
      </c>
      <c r="B44" s="6">
        <v>45133</v>
      </c>
      <c r="C44" s="5" t="s">
        <v>158</v>
      </c>
      <c r="D44" s="5" t="s">
        <v>216</v>
      </c>
      <c r="E44" s="5" t="s">
        <v>93</v>
      </c>
      <c r="F44" s="5" t="s">
        <v>105</v>
      </c>
      <c r="G44" s="5" t="s">
        <v>102</v>
      </c>
      <c r="H44" s="5" t="s">
        <v>144</v>
      </c>
      <c r="I44" s="5">
        <v>8</v>
      </c>
      <c r="J44" s="7">
        <v>15</v>
      </c>
      <c r="K44" s="7">
        <v>120</v>
      </c>
      <c r="L44" s="17">
        <v>60</v>
      </c>
      <c r="M44" s="27">
        <f>Table2[[#This Row],[Total_Revenue_SAR]]-Table2[[#This Row],[Cost_SAR]]</f>
        <v>60</v>
      </c>
      <c r="N44" s="36">
        <f>Table2[[#This Row],[Profit_SAR]]/Table2[[#This Row],[Total_Revenue_SAR]]</f>
        <v>0.5</v>
      </c>
      <c r="O44" t="str">
        <f>IF(Table2[[#This Row],[Profit_Margin%]]&gt;=40%,"High","Low")</f>
        <v>High</v>
      </c>
    </row>
    <row r="45" spans="1:15" x14ac:dyDescent="0.3">
      <c r="A45" s="14" t="s">
        <v>160</v>
      </c>
      <c r="B45" s="3">
        <v>45129</v>
      </c>
      <c r="C45" s="2" t="s">
        <v>158</v>
      </c>
      <c r="D45" s="5" t="s">
        <v>216</v>
      </c>
      <c r="E45" s="2" t="s">
        <v>101</v>
      </c>
      <c r="F45" s="2" t="s">
        <v>81</v>
      </c>
      <c r="G45" s="2" t="s">
        <v>109</v>
      </c>
      <c r="H45" s="2" t="s">
        <v>161</v>
      </c>
      <c r="I45" s="2">
        <v>4</v>
      </c>
      <c r="J45" s="4">
        <v>14</v>
      </c>
      <c r="K45" s="4">
        <v>56</v>
      </c>
      <c r="L45" s="16">
        <v>25.2</v>
      </c>
      <c r="M45" s="27">
        <f>Table2[[#This Row],[Total_Revenue_SAR]]-Table2[[#This Row],[Cost_SAR]]</f>
        <v>30.8</v>
      </c>
      <c r="N45" s="36">
        <f>Table2[[#This Row],[Profit_SAR]]/Table2[[#This Row],[Total_Revenue_SAR]]</f>
        <v>0.55000000000000004</v>
      </c>
      <c r="O45" t="str">
        <f>IF(Table2[[#This Row],[Profit_Margin%]]&gt;=40%,"High","Low")</f>
        <v>High</v>
      </c>
    </row>
    <row r="46" spans="1:15" x14ac:dyDescent="0.3">
      <c r="A46" s="15" t="s">
        <v>162</v>
      </c>
      <c r="B46" s="6">
        <v>45135</v>
      </c>
      <c r="C46" s="5" t="s">
        <v>158</v>
      </c>
      <c r="D46" s="5" t="s">
        <v>216</v>
      </c>
      <c r="E46" s="5" t="s">
        <v>93</v>
      </c>
      <c r="F46" s="5" t="s">
        <v>98</v>
      </c>
      <c r="G46" s="5" t="s">
        <v>109</v>
      </c>
      <c r="H46" s="5" t="s">
        <v>163</v>
      </c>
      <c r="I46" s="5">
        <v>15</v>
      </c>
      <c r="J46" s="7">
        <v>28</v>
      </c>
      <c r="K46" s="7">
        <v>420</v>
      </c>
      <c r="L46" s="17">
        <v>189</v>
      </c>
      <c r="M46" s="27">
        <f>Table2[[#This Row],[Total_Revenue_SAR]]-Table2[[#This Row],[Cost_SAR]]</f>
        <v>231</v>
      </c>
      <c r="N46" s="36">
        <f>Table2[[#This Row],[Profit_SAR]]/Table2[[#This Row],[Total_Revenue_SAR]]</f>
        <v>0.55000000000000004</v>
      </c>
      <c r="O46" t="str">
        <f>IF(Table2[[#This Row],[Profit_Margin%]]&gt;=40%,"High","Low")</f>
        <v>High</v>
      </c>
    </row>
    <row r="47" spans="1:15" x14ac:dyDescent="0.3">
      <c r="A47" s="14" t="s">
        <v>164</v>
      </c>
      <c r="B47" s="3">
        <v>45118</v>
      </c>
      <c r="C47" s="2" t="s">
        <v>158</v>
      </c>
      <c r="D47" s="5" t="s">
        <v>216</v>
      </c>
      <c r="E47" s="2" t="s">
        <v>93</v>
      </c>
      <c r="F47" s="2" t="s">
        <v>86</v>
      </c>
      <c r="G47" s="2" t="s">
        <v>82</v>
      </c>
      <c r="H47" s="2" t="s">
        <v>89</v>
      </c>
      <c r="I47" s="2">
        <v>24</v>
      </c>
      <c r="J47" s="4">
        <v>450</v>
      </c>
      <c r="K47" s="4">
        <v>10800</v>
      </c>
      <c r="L47" s="16">
        <v>7020</v>
      </c>
      <c r="M47" s="27">
        <f>Table2[[#This Row],[Total_Revenue_SAR]]-Table2[[#This Row],[Cost_SAR]]</f>
        <v>3780</v>
      </c>
      <c r="N47" s="36">
        <f>Table2[[#This Row],[Profit_SAR]]/Table2[[#This Row],[Total_Revenue_SAR]]</f>
        <v>0.35</v>
      </c>
      <c r="O47" t="str">
        <f>IF(Table2[[#This Row],[Profit_Margin%]]&gt;=40%,"High","Low")</f>
        <v>Low</v>
      </c>
    </row>
    <row r="48" spans="1:15" x14ac:dyDescent="0.3">
      <c r="A48" s="15" t="s">
        <v>165</v>
      </c>
      <c r="B48" s="6">
        <v>45122</v>
      </c>
      <c r="C48" s="5" t="s">
        <v>158</v>
      </c>
      <c r="D48" s="5" t="s">
        <v>216</v>
      </c>
      <c r="E48" s="5" t="s">
        <v>80</v>
      </c>
      <c r="F48" s="5" t="s">
        <v>81</v>
      </c>
      <c r="G48" s="5" t="s">
        <v>82</v>
      </c>
      <c r="H48" s="5" t="s">
        <v>99</v>
      </c>
      <c r="I48" s="5">
        <v>18</v>
      </c>
      <c r="J48" s="7">
        <v>320</v>
      </c>
      <c r="K48" s="7">
        <v>5760</v>
      </c>
      <c r="L48" s="17">
        <v>3744</v>
      </c>
      <c r="M48" s="27">
        <f>Table2[[#This Row],[Total_Revenue_SAR]]-Table2[[#This Row],[Cost_SAR]]</f>
        <v>2016</v>
      </c>
      <c r="N48" s="36">
        <f>Table2[[#This Row],[Profit_SAR]]/Table2[[#This Row],[Total_Revenue_SAR]]</f>
        <v>0.35</v>
      </c>
      <c r="O48" t="str">
        <f>IF(Table2[[#This Row],[Profit_Margin%]]&gt;=40%,"High","Low")</f>
        <v>Low</v>
      </c>
    </row>
    <row r="49" spans="1:15" x14ac:dyDescent="0.3">
      <c r="A49" s="14" t="s">
        <v>166</v>
      </c>
      <c r="B49" s="3">
        <v>45115</v>
      </c>
      <c r="C49" s="2" t="s">
        <v>158</v>
      </c>
      <c r="D49" s="5" t="s">
        <v>216</v>
      </c>
      <c r="E49" s="2" t="s">
        <v>97</v>
      </c>
      <c r="F49" s="2" t="s">
        <v>81</v>
      </c>
      <c r="G49" s="2" t="s">
        <v>102</v>
      </c>
      <c r="H49" s="2" t="s">
        <v>130</v>
      </c>
      <c r="I49" s="2">
        <v>15</v>
      </c>
      <c r="J49" s="4">
        <v>12</v>
      </c>
      <c r="K49" s="4">
        <v>180</v>
      </c>
      <c r="L49" s="16">
        <v>90</v>
      </c>
      <c r="M49" s="27">
        <f>Table2[[#This Row],[Total_Revenue_SAR]]-Table2[[#This Row],[Cost_SAR]]</f>
        <v>90</v>
      </c>
      <c r="N49" s="36">
        <f>Table2[[#This Row],[Profit_SAR]]/Table2[[#This Row],[Total_Revenue_SAR]]</f>
        <v>0.5</v>
      </c>
      <c r="O49" t="str">
        <f>IF(Table2[[#This Row],[Profit_Margin%]]&gt;=40%,"High","Low")</f>
        <v>High</v>
      </c>
    </row>
    <row r="50" spans="1:15" x14ac:dyDescent="0.3">
      <c r="A50" s="15" t="s">
        <v>167</v>
      </c>
      <c r="B50" s="6">
        <v>45128</v>
      </c>
      <c r="C50" s="5" t="s">
        <v>158</v>
      </c>
      <c r="D50" s="5" t="s">
        <v>216</v>
      </c>
      <c r="E50" s="5" t="s">
        <v>101</v>
      </c>
      <c r="F50" s="5" t="s">
        <v>105</v>
      </c>
      <c r="G50" s="5" t="s">
        <v>82</v>
      </c>
      <c r="H50" s="5" t="s">
        <v>118</v>
      </c>
      <c r="I50" s="5">
        <v>2</v>
      </c>
      <c r="J50" s="7">
        <v>45</v>
      </c>
      <c r="K50" s="7">
        <v>90</v>
      </c>
      <c r="L50" s="17">
        <v>58.5</v>
      </c>
      <c r="M50" s="27">
        <f>Table2[[#This Row],[Total_Revenue_SAR]]-Table2[[#This Row],[Cost_SAR]]</f>
        <v>31.5</v>
      </c>
      <c r="N50" s="36">
        <f>Table2[[#This Row],[Profit_SAR]]/Table2[[#This Row],[Total_Revenue_SAR]]</f>
        <v>0.35</v>
      </c>
      <c r="O50" t="str">
        <f>IF(Table2[[#This Row],[Profit_Margin%]]&gt;=40%,"High","Low")</f>
        <v>Low</v>
      </c>
    </row>
    <row r="51" spans="1:15" x14ac:dyDescent="0.3">
      <c r="A51" s="14" t="s">
        <v>168</v>
      </c>
      <c r="B51" s="3">
        <v>45113</v>
      </c>
      <c r="C51" s="2" t="s">
        <v>158</v>
      </c>
      <c r="D51" s="5" t="s">
        <v>216</v>
      </c>
      <c r="E51" s="2" t="s">
        <v>115</v>
      </c>
      <c r="F51" s="2" t="s">
        <v>86</v>
      </c>
      <c r="G51" s="2" t="s">
        <v>94</v>
      </c>
      <c r="H51" s="2" t="s">
        <v>169</v>
      </c>
      <c r="I51" s="2">
        <v>8</v>
      </c>
      <c r="J51" s="4">
        <v>540</v>
      </c>
      <c r="K51" s="4">
        <v>4320</v>
      </c>
      <c r="L51" s="16">
        <v>2678.4</v>
      </c>
      <c r="M51" s="27">
        <f>Table2[[#This Row],[Total_Revenue_SAR]]-Table2[[#This Row],[Cost_SAR]]</f>
        <v>1641.6</v>
      </c>
      <c r="N51" s="36">
        <f>Table2[[#This Row],[Profit_SAR]]/Table2[[#This Row],[Total_Revenue_SAR]]</f>
        <v>0.38</v>
      </c>
      <c r="O51" t="str">
        <f>IF(Table2[[#This Row],[Profit_Margin%]]&gt;=40%,"High","Low")</f>
        <v>Low</v>
      </c>
    </row>
    <row r="52" spans="1:15" x14ac:dyDescent="0.3">
      <c r="A52" s="15" t="s">
        <v>170</v>
      </c>
      <c r="B52" s="6">
        <v>45109</v>
      </c>
      <c r="C52" s="5" t="s">
        <v>158</v>
      </c>
      <c r="D52" s="5" t="s">
        <v>216</v>
      </c>
      <c r="E52" s="5" t="s">
        <v>80</v>
      </c>
      <c r="F52" s="5" t="s">
        <v>98</v>
      </c>
      <c r="G52" s="5" t="s">
        <v>109</v>
      </c>
      <c r="H52" s="5" t="s">
        <v>161</v>
      </c>
      <c r="I52" s="5">
        <v>13</v>
      </c>
      <c r="J52" s="7">
        <v>14</v>
      </c>
      <c r="K52" s="7">
        <v>182</v>
      </c>
      <c r="L52" s="17">
        <v>81.900000000000006</v>
      </c>
      <c r="M52" s="27">
        <f>Table2[[#This Row],[Total_Revenue_SAR]]-Table2[[#This Row],[Cost_SAR]]</f>
        <v>100.1</v>
      </c>
      <c r="N52" s="36">
        <f>Table2[[#This Row],[Profit_SAR]]/Table2[[#This Row],[Total_Revenue_SAR]]</f>
        <v>0.54999999999999993</v>
      </c>
      <c r="O52" t="str">
        <f>IF(Table2[[#This Row],[Profit_Margin%]]&gt;=40%,"High","Low")</f>
        <v>High</v>
      </c>
    </row>
    <row r="53" spans="1:15" x14ac:dyDescent="0.3">
      <c r="A53" s="14" t="s">
        <v>171</v>
      </c>
      <c r="B53" s="3">
        <v>45133</v>
      </c>
      <c r="C53" s="2" t="s">
        <v>158</v>
      </c>
      <c r="D53" s="5" t="s">
        <v>216</v>
      </c>
      <c r="E53" s="2" t="s">
        <v>93</v>
      </c>
      <c r="F53" s="2" t="s">
        <v>86</v>
      </c>
      <c r="G53" s="2" t="s">
        <v>102</v>
      </c>
      <c r="H53" s="2" t="s">
        <v>130</v>
      </c>
      <c r="I53" s="2">
        <v>9</v>
      </c>
      <c r="J53" s="4">
        <v>12</v>
      </c>
      <c r="K53" s="4">
        <v>108</v>
      </c>
      <c r="L53" s="16">
        <v>54</v>
      </c>
      <c r="M53" s="27">
        <f>Table2[[#This Row],[Total_Revenue_SAR]]-Table2[[#This Row],[Cost_SAR]]</f>
        <v>54</v>
      </c>
      <c r="N53" s="36">
        <f>Table2[[#This Row],[Profit_SAR]]/Table2[[#This Row],[Total_Revenue_SAR]]</f>
        <v>0.5</v>
      </c>
      <c r="O53" t="str">
        <f>IF(Table2[[#This Row],[Profit_Margin%]]&gt;=40%,"High","Low")</f>
        <v>High</v>
      </c>
    </row>
    <row r="54" spans="1:15" x14ac:dyDescent="0.3">
      <c r="A54" s="15" t="s">
        <v>172</v>
      </c>
      <c r="B54" s="6">
        <v>45133</v>
      </c>
      <c r="C54" s="5" t="s">
        <v>158</v>
      </c>
      <c r="D54" s="5" t="s">
        <v>216</v>
      </c>
      <c r="E54" s="5" t="s">
        <v>91</v>
      </c>
      <c r="F54" s="5" t="s">
        <v>98</v>
      </c>
      <c r="G54" s="5" t="s">
        <v>109</v>
      </c>
      <c r="H54" s="5" t="s">
        <v>163</v>
      </c>
      <c r="I54" s="5">
        <v>24</v>
      </c>
      <c r="J54" s="7">
        <v>28</v>
      </c>
      <c r="K54" s="7">
        <v>672</v>
      </c>
      <c r="L54" s="17">
        <v>302.39999999999998</v>
      </c>
      <c r="M54" s="27">
        <f>Table2[[#This Row],[Total_Revenue_SAR]]-Table2[[#This Row],[Cost_SAR]]</f>
        <v>369.6</v>
      </c>
      <c r="N54" s="36">
        <f>Table2[[#This Row],[Profit_SAR]]/Table2[[#This Row],[Total_Revenue_SAR]]</f>
        <v>0.55000000000000004</v>
      </c>
      <c r="O54" t="str">
        <f>IF(Table2[[#This Row],[Profit_Margin%]]&gt;=40%,"High","Low")</f>
        <v>High</v>
      </c>
    </row>
    <row r="55" spans="1:15" x14ac:dyDescent="0.3">
      <c r="A55" s="14" t="s">
        <v>173</v>
      </c>
      <c r="B55" s="3">
        <v>45114</v>
      </c>
      <c r="C55" s="2" t="s">
        <v>158</v>
      </c>
      <c r="D55" s="5" t="s">
        <v>216</v>
      </c>
      <c r="E55" s="2" t="s">
        <v>80</v>
      </c>
      <c r="F55" s="2" t="s">
        <v>81</v>
      </c>
      <c r="G55" s="2" t="s">
        <v>94</v>
      </c>
      <c r="H55" s="2" t="s">
        <v>95</v>
      </c>
      <c r="I55" s="2">
        <v>10</v>
      </c>
      <c r="J55" s="4">
        <v>175</v>
      </c>
      <c r="K55" s="4">
        <v>1750</v>
      </c>
      <c r="L55" s="16">
        <v>1085</v>
      </c>
      <c r="M55" s="27">
        <f>Table2[[#This Row],[Total_Revenue_SAR]]-Table2[[#This Row],[Cost_SAR]]</f>
        <v>665</v>
      </c>
      <c r="N55" s="36">
        <f>Table2[[#This Row],[Profit_SAR]]/Table2[[#This Row],[Total_Revenue_SAR]]</f>
        <v>0.38</v>
      </c>
      <c r="O55" t="str">
        <f>IF(Table2[[#This Row],[Profit_Margin%]]&gt;=40%,"High","Low")</f>
        <v>Low</v>
      </c>
    </row>
    <row r="56" spans="1:15" x14ac:dyDescent="0.3">
      <c r="A56" s="15" t="s">
        <v>174</v>
      </c>
      <c r="B56" s="6">
        <v>45118</v>
      </c>
      <c r="C56" s="5" t="s">
        <v>158</v>
      </c>
      <c r="D56" s="5" t="s">
        <v>216</v>
      </c>
      <c r="E56" s="5" t="s">
        <v>101</v>
      </c>
      <c r="F56" s="5" t="s">
        <v>105</v>
      </c>
      <c r="G56" s="5" t="s">
        <v>82</v>
      </c>
      <c r="H56" s="5" t="s">
        <v>87</v>
      </c>
      <c r="I56" s="5">
        <v>24</v>
      </c>
      <c r="J56" s="7">
        <v>120</v>
      </c>
      <c r="K56" s="7">
        <v>2880</v>
      </c>
      <c r="L56" s="17">
        <v>1872</v>
      </c>
      <c r="M56" s="27">
        <f>Table2[[#This Row],[Total_Revenue_SAR]]-Table2[[#This Row],[Cost_SAR]]</f>
        <v>1008</v>
      </c>
      <c r="N56" s="36">
        <f>Table2[[#This Row],[Profit_SAR]]/Table2[[#This Row],[Total_Revenue_SAR]]</f>
        <v>0.35</v>
      </c>
      <c r="O56" t="str">
        <f>IF(Table2[[#This Row],[Profit_Margin%]]&gt;=40%,"High","Low")</f>
        <v>Low</v>
      </c>
    </row>
    <row r="57" spans="1:15" x14ac:dyDescent="0.3">
      <c r="A57" s="14" t="s">
        <v>175</v>
      </c>
      <c r="B57" s="3">
        <v>45135</v>
      </c>
      <c r="C57" s="2" t="s">
        <v>158</v>
      </c>
      <c r="D57" s="5" t="s">
        <v>216</v>
      </c>
      <c r="E57" s="2" t="s">
        <v>93</v>
      </c>
      <c r="F57" s="2" t="s">
        <v>105</v>
      </c>
      <c r="G57" s="2" t="s">
        <v>82</v>
      </c>
      <c r="H57" s="2" t="s">
        <v>89</v>
      </c>
      <c r="I57" s="2">
        <v>17</v>
      </c>
      <c r="J57" s="4">
        <v>450</v>
      </c>
      <c r="K57" s="4">
        <v>7650</v>
      </c>
      <c r="L57" s="16">
        <v>4972.5</v>
      </c>
      <c r="M57" s="27">
        <f>Table2[[#This Row],[Total_Revenue_SAR]]-Table2[[#This Row],[Cost_SAR]]</f>
        <v>2677.5</v>
      </c>
      <c r="N57" s="36">
        <f>Table2[[#This Row],[Profit_SAR]]/Table2[[#This Row],[Total_Revenue_SAR]]</f>
        <v>0.35</v>
      </c>
      <c r="O57" t="str">
        <f>IF(Table2[[#This Row],[Profit_Margin%]]&gt;=40%,"High","Low")</f>
        <v>Low</v>
      </c>
    </row>
    <row r="58" spans="1:15" x14ac:dyDescent="0.3">
      <c r="A58" s="15" t="s">
        <v>176</v>
      </c>
      <c r="B58" s="6">
        <v>45135</v>
      </c>
      <c r="C58" s="5" t="s">
        <v>158</v>
      </c>
      <c r="D58" s="5" t="s">
        <v>216</v>
      </c>
      <c r="E58" s="5" t="s">
        <v>85</v>
      </c>
      <c r="F58" s="5" t="s">
        <v>86</v>
      </c>
      <c r="G58" s="5" t="s">
        <v>94</v>
      </c>
      <c r="H58" s="5" t="s">
        <v>126</v>
      </c>
      <c r="I58" s="5">
        <v>3</v>
      </c>
      <c r="J58" s="7">
        <v>320</v>
      </c>
      <c r="K58" s="7">
        <v>960</v>
      </c>
      <c r="L58" s="17">
        <v>595.20000000000005</v>
      </c>
      <c r="M58" s="27">
        <f>Table2[[#This Row],[Total_Revenue_SAR]]-Table2[[#This Row],[Cost_SAR]]</f>
        <v>364.79999999999995</v>
      </c>
      <c r="N58" s="36">
        <f>Table2[[#This Row],[Profit_SAR]]/Table2[[#This Row],[Total_Revenue_SAR]]</f>
        <v>0.37999999999999995</v>
      </c>
      <c r="O58" t="str">
        <f>IF(Table2[[#This Row],[Profit_Margin%]]&gt;=40%,"High","Low")</f>
        <v>Low</v>
      </c>
    </row>
    <row r="59" spans="1:15" x14ac:dyDescent="0.3">
      <c r="A59" s="14" t="s">
        <v>177</v>
      </c>
      <c r="B59" s="3">
        <v>45135</v>
      </c>
      <c r="C59" s="2" t="s">
        <v>158</v>
      </c>
      <c r="D59" s="5" t="s">
        <v>216</v>
      </c>
      <c r="E59" s="2" t="s">
        <v>101</v>
      </c>
      <c r="F59" s="2" t="s">
        <v>105</v>
      </c>
      <c r="G59" s="2" t="s">
        <v>102</v>
      </c>
      <c r="H59" s="2" t="s">
        <v>178</v>
      </c>
      <c r="I59" s="2">
        <v>22</v>
      </c>
      <c r="J59" s="4">
        <v>18</v>
      </c>
      <c r="K59" s="4">
        <v>396</v>
      </c>
      <c r="L59" s="16">
        <v>198</v>
      </c>
      <c r="M59" s="27">
        <f>Table2[[#This Row],[Total_Revenue_SAR]]-Table2[[#This Row],[Cost_SAR]]</f>
        <v>198</v>
      </c>
      <c r="N59" s="36">
        <f>Table2[[#This Row],[Profit_SAR]]/Table2[[#This Row],[Total_Revenue_SAR]]</f>
        <v>0.5</v>
      </c>
      <c r="O59" t="str">
        <f>IF(Table2[[#This Row],[Profit_Margin%]]&gt;=40%,"High","Low")</f>
        <v>High</v>
      </c>
    </row>
    <row r="60" spans="1:15" x14ac:dyDescent="0.3">
      <c r="A60" s="15" t="s">
        <v>179</v>
      </c>
      <c r="B60" s="6">
        <v>45126</v>
      </c>
      <c r="C60" s="5" t="s">
        <v>158</v>
      </c>
      <c r="D60" s="5" t="s">
        <v>216</v>
      </c>
      <c r="E60" s="5" t="s">
        <v>85</v>
      </c>
      <c r="F60" s="5" t="s">
        <v>86</v>
      </c>
      <c r="G60" s="5" t="s">
        <v>102</v>
      </c>
      <c r="H60" s="5" t="s">
        <v>130</v>
      </c>
      <c r="I60" s="5">
        <v>8</v>
      </c>
      <c r="J60" s="7">
        <v>12</v>
      </c>
      <c r="K60" s="7">
        <v>96</v>
      </c>
      <c r="L60" s="17">
        <v>48</v>
      </c>
      <c r="M60" s="27">
        <f>Table2[[#This Row],[Total_Revenue_SAR]]-Table2[[#This Row],[Cost_SAR]]</f>
        <v>48</v>
      </c>
      <c r="N60" s="36">
        <f>Table2[[#This Row],[Profit_SAR]]/Table2[[#This Row],[Total_Revenue_SAR]]</f>
        <v>0.5</v>
      </c>
      <c r="O60" t="str">
        <f>IF(Table2[[#This Row],[Profit_Margin%]]&gt;=40%,"High","Low")</f>
        <v>High</v>
      </c>
    </row>
    <row r="61" spans="1:15" x14ac:dyDescent="0.3">
      <c r="A61" s="14" t="s">
        <v>180</v>
      </c>
      <c r="B61" s="3">
        <v>45129</v>
      </c>
      <c r="C61" s="2" t="s">
        <v>158</v>
      </c>
      <c r="D61" s="5" t="s">
        <v>216</v>
      </c>
      <c r="E61" s="2" t="s">
        <v>101</v>
      </c>
      <c r="F61" s="2" t="s">
        <v>105</v>
      </c>
      <c r="G61" s="2" t="s">
        <v>94</v>
      </c>
      <c r="H61" s="2" t="s">
        <v>169</v>
      </c>
      <c r="I61" s="2">
        <v>14</v>
      </c>
      <c r="J61" s="4">
        <v>540</v>
      </c>
      <c r="K61" s="4">
        <v>7560</v>
      </c>
      <c r="L61" s="16">
        <v>4687.2</v>
      </c>
      <c r="M61" s="27">
        <f>Table2[[#This Row],[Total_Revenue_SAR]]-Table2[[#This Row],[Cost_SAR]]</f>
        <v>2872.8</v>
      </c>
      <c r="N61" s="36">
        <f>Table2[[#This Row],[Profit_SAR]]/Table2[[#This Row],[Total_Revenue_SAR]]</f>
        <v>0.38</v>
      </c>
      <c r="O61" t="str">
        <f>IF(Table2[[#This Row],[Profit_Margin%]]&gt;=40%,"High","Low")</f>
        <v>Low</v>
      </c>
    </row>
    <row r="62" spans="1:15" x14ac:dyDescent="0.3">
      <c r="A62" s="15" t="s">
        <v>181</v>
      </c>
      <c r="B62" s="6">
        <v>45149</v>
      </c>
      <c r="C62" s="5" t="s">
        <v>182</v>
      </c>
      <c r="D62" s="5" t="s">
        <v>216</v>
      </c>
      <c r="E62" s="5" t="s">
        <v>91</v>
      </c>
      <c r="F62" s="5" t="s">
        <v>81</v>
      </c>
      <c r="G62" s="5" t="s">
        <v>106</v>
      </c>
      <c r="H62" s="5" t="s">
        <v>107</v>
      </c>
      <c r="I62" s="5">
        <v>23</v>
      </c>
      <c r="J62" s="7">
        <v>290</v>
      </c>
      <c r="K62" s="7">
        <v>6670</v>
      </c>
      <c r="L62" s="17">
        <v>4002</v>
      </c>
      <c r="M62" s="27">
        <f>Table2[[#This Row],[Total_Revenue_SAR]]-Table2[[#This Row],[Cost_SAR]]</f>
        <v>2668</v>
      </c>
      <c r="N62" s="36">
        <f>Table2[[#This Row],[Profit_SAR]]/Table2[[#This Row],[Total_Revenue_SAR]]</f>
        <v>0.4</v>
      </c>
      <c r="O62" t="str">
        <f>IF(Table2[[#This Row],[Profit_Margin%]]&gt;=40%,"High","Low")</f>
        <v>High</v>
      </c>
    </row>
    <row r="63" spans="1:15" x14ac:dyDescent="0.3">
      <c r="A63" s="14" t="s">
        <v>183</v>
      </c>
      <c r="B63" s="3">
        <v>45159</v>
      </c>
      <c r="C63" s="2" t="s">
        <v>182</v>
      </c>
      <c r="D63" s="5" t="s">
        <v>216</v>
      </c>
      <c r="E63" s="2" t="s">
        <v>80</v>
      </c>
      <c r="F63" s="2" t="s">
        <v>98</v>
      </c>
      <c r="G63" s="2" t="s">
        <v>102</v>
      </c>
      <c r="H63" s="2" t="s">
        <v>103</v>
      </c>
      <c r="I63" s="2">
        <v>22</v>
      </c>
      <c r="J63" s="4">
        <v>35</v>
      </c>
      <c r="K63" s="4">
        <v>770</v>
      </c>
      <c r="L63" s="16">
        <v>385</v>
      </c>
      <c r="M63" s="27">
        <f>Table2[[#This Row],[Total_Revenue_SAR]]-Table2[[#This Row],[Cost_SAR]]</f>
        <v>385</v>
      </c>
      <c r="N63" s="36">
        <f>Table2[[#This Row],[Profit_SAR]]/Table2[[#This Row],[Total_Revenue_SAR]]</f>
        <v>0.5</v>
      </c>
      <c r="O63" t="str">
        <f>IF(Table2[[#This Row],[Profit_Margin%]]&gt;=40%,"High","Low")</f>
        <v>High</v>
      </c>
    </row>
    <row r="64" spans="1:15" x14ac:dyDescent="0.3">
      <c r="A64" s="15" t="s">
        <v>184</v>
      </c>
      <c r="B64" s="6">
        <v>45139</v>
      </c>
      <c r="C64" s="5" t="s">
        <v>182</v>
      </c>
      <c r="D64" s="5" t="s">
        <v>216</v>
      </c>
      <c r="E64" s="5" t="s">
        <v>115</v>
      </c>
      <c r="F64" s="5" t="s">
        <v>112</v>
      </c>
      <c r="G64" s="5" t="s">
        <v>106</v>
      </c>
      <c r="H64" s="5" t="s">
        <v>185</v>
      </c>
      <c r="I64" s="5">
        <v>3</v>
      </c>
      <c r="J64" s="7">
        <v>210</v>
      </c>
      <c r="K64" s="7">
        <v>630</v>
      </c>
      <c r="L64" s="17">
        <v>378</v>
      </c>
      <c r="M64" s="27">
        <f>Table2[[#This Row],[Total_Revenue_SAR]]-Table2[[#This Row],[Cost_SAR]]</f>
        <v>252</v>
      </c>
      <c r="N64" s="36">
        <f>Table2[[#This Row],[Profit_SAR]]/Table2[[#This Row],[Total_Revenue_SAR]]</f>
        <v>0.4</v>
      </c>
      <c r="O64" t="str">
        <f>IF(Table2[[#This Row],[Profit_Margin%]]&gt;=40%,"High","Low")</f>
        <v>High</v>
      </c>
    </row>
    <row r="65" spans="1:15" x14ac:dyDescent="0.3">
      <c r="A65" s="14" t="s">
        <v>186</v>
      </c>
      <c r="B65" s="3">
        <v>45156</v>
      </c>
      <c r="C65" s="2" t="s">
        <v>182</v>
      </c>
      <c r="D65" s="5" t="s">
        <v>216</v>
      </c>
      <c r="E65" s="2" t="s">
        <v>101</v>
      </c>
      <c r="F65" s="2" t="s">
        <v>105</v>
      </c>
      <c r="G65" s="2" t="s">
        <v>109</v>
      </c>
      <c r="H65" s="2" t="s">
        <v>110</v>
      </c>
      <c r="I65" s="2">
        <v>3</v>
      </c>
      <c r="J65" s="4">
        <v>19</v>
      </c>
      <c r="K65" s="4">
        <v>57</v>
      </c>
      <c r="L65" s="16">
        <v>25.65</v>
      </c>
      <c r="M65" s="27">
        <f>Table2[[#This Row],[Total_Revenue_SAR]]-Table2[[#This Row],[Cost_SAR]]</f>
        <v>31.35</v>
      </c>
      <c r="N65" s="36">
        <f>Table2[[#This Row],[Profit_SAR]]/Table2[[#This Row],[Total_Revenue_SAR]]</f>
        <v>0.55000000000000004</v>
      </c>
      <c r="O65" t="str">
        <f>IF(Table2[[#This Row],[Profit_Margin%]]&gt;=40%,"High","Low")</f>
        <v>High</v>
      </c>
    </row>
    <row r="66" spans="1:15" x14ac:dyDescent="0.3">
      <c r="A66" s="15" t="s">
        <v>187</v>
      </c>
      <c r="B66" s="6">
        <v>45141</v>
      </c>
      <c r="C66" s="5" t="s">
        <v>182</v>
      </c>
      <c r="D66" s="5" t="s">
        <v>216</v>
      </c>
      <c r="E66" s="5" t="s">
        <v>80</v>
      </c>
      <c r="F66" s="5" t="s">
        <v>112</v>
      </c>
      <c r="G66" s="5" t="s">
        <v>102</v>
      </c>
      <c r="H66" s="5" t="s">
        <v>144</v>
      </c>
      <c r="I66" s="5">
        <v>12</v>
      </c>
      <c r="J66" s="7">
        <v>15</v>
      </c>
      <c r="K66" s="7">
        <v>180</v>
      </c>
      <c r="L66" s="17">
        <v>90</v>
      </c>
      <c r="M66" s="27">
        <f>Table2[[#This Row],[Total_Revenue_SAR]]-Table2[[#This Row],[Cost_SAR]]</f>
        <v>90</v>
      </c>
      <c r="N66" s="36">
        <f>Table2[[#This Row],[Profit_SAR]]/Table2[[#This Row],[Total_Revenue_SAR]]</f>
        <v>0.5</v>
      </c>
      <c r="O66" t="str">
        <f>IF(Table2[[#This Row],[Profit_Margin%]]&gt;=40%,"High","Low")</f>
        <v>High</v>
      </c>
    </row>
    <row r="67" spans="1:15" x14ac:dyDescent="0.3">
      <c r="A67" s="14" t="s">
        <v>188</v>
      </c>
      <c r="B67" s="3">
        <v>45165</v>
      </c>
      <c r="C67" s="2" t="s">
        <v>182</v>
      </c>
      <c r="D67" s="5" t="s">
        <v>216</v>
      </c>
      <c r="E67" s="2" t="s">
        <v>80</v>
      </c>
      <c r="F67" s="2" t="s">
        <v>112</v>
      </c>
      <c r="G67" s="2" t="s">
        <v>102</v>
      </c>
      <c r="H67" s="2" t="s">
        <v>103</v>
      </c>
      <c r="I67" s="2">
        <v>15</v>
      </c>
      <c r="J67" s="4">
        <v>35</v>
      </c>
      <c r="K67" s="4">
        <v>525</v>
      </c>
      <c r="L67" s="16">
        <v>262.5</v>
      </c>
      <c r="M67" s="27">
        <f>Table2[[#This Row],[Total_Revenue_SAR]]-Table2[[#This Row],[Cost_SAR]]</f>
        <v>262.5</v>
      </c>
      <c r="N67" s="36">
        <f>Table2[[#This Row],[Profit_SAR]]/Table2[[#This Row],[Total_Revenue_SAR]]</f>
        <v>0.5</v>
      </c>
      <c r="O67" t="str">
        <f>IF(Table2[[#This Row],[Profit_Margin%]]&gt;=40%,"High","Low")</f>
        <v>High</v>
      </c>
    </row>
    <row r="68" spans="1:15" x14ac:dyDescent="0.3">
      <c r="A68" s="15" t="s">
        <v>189</v>
      </c>
      <c r="B68" s="6">
        <v>45155</v>
      </c>
      <c r="C68" s="5" t="s">
        <v>182</v>
      </c>
      <c r="D68" s="5" t="s">
        <v>216</v>
      </c>
      <c r="E68" s="5" t="s">
        <v>115</v>
      </c>
      <c r="F68" s="5" t="s">
        <v>105</v>
      </c>
      <c r="G68" s="5" t="s">
        <v>94</v>
      </c>
      <c r="H68" s="5" t="s">
        <v>138</v>
      </c>
      <c r="I68" s="5">
        <v>21</v>
      </c>
      <c r="J68" s="7">
        <v>280</v>
      </c>
      <c r="K68" s="7">
        <v>5880</v>
      </c>
      <c r="L68" s="17">
        <v>3645.6</v>
      </c>
      <c r="M68" s="27">
        <f>Table2[[#This Row],[Total_Revenue_SAR]]-Table2[[#This Row],[Cost_SAR]]</f>
        <v>2234.4</v>
      </c>
      <c r="N68" s="36">
        <f>Table2[[#This Row],[Profit_SAR]]/Table2[[#This Row],[Total_Revenue_SAR]]</f>
        <v>0.38</v>
      </c>
      <c r="O68" t="str">
        <f>IF(Table2[[#This Row],[Profit_Margin%]]&gt;=40%,"High","Low")</f>
        <v>Low</v>
      </c>
    </row>
    <row r="69" spans="1:15" x14ac:dyDescent="0.3">
      <c r="A69" s="14" t="s">
        <v>190</v>
      </c>
      <c r="B69" s="3">
        <v>45143</v>
      </c>
      <c r="C69" s="2" t="s">
        <v>182</v>
      </c>
      <c r="D69" s="5" t="s">
        <v>216</v>
      </c>
      <c r="E69" s="2" t="s">
        <v>91</v>
      </c>
      <c r="F69" s="2" t="s">
        <v>112</v>
      </c>
      <c r="G69" s="2" t="s">
        <v>82</v>
      </c>
      <c r="H69" s="2" t="s">
        <v>87</v>
      </c>
      <c r="I69" s="2">
        <v>4</v>
      </c>
      <c r="J69" s="4">
        <v>120</v>
      </c>
      <c r="K69" s="4">
        <v>480</v>
      </c>
      <c r="L69" s="16">
        <v>312</v>
      </c>
      <c r="M69" s="27">
        <f>Table2[[#This Row],[Total_Revenue_SAR]]-Table2[[#This Row],[Cost_SAR]]</f>
        <v>168</v>
      </c>
      <c r="N69" s="36">
        <f>Table2[[#This Row],[Profit_SAR]]/Table2[[#This Row],[Total_Revenue_SAR]]</f>
        <v>0.35</v>
      </c>
      <c r="O69" t="str">
        <f>IF(Table2[[#This Row],[Profit_Margin%]]&gt;=40%,"High","Low")</f>
        <v>Low</v>
      </c>
    </row>
    <row r="70" spans="1:15" x14ac:dyDescent="0.3">
      <c r="A70" s="15" t="s">
        <v>191</v>
      </c>
      <c r="B70" s="6">
        <v>45143</v>
      </c>
      <c r="C70" s="5" t="s">
        <v>182</v>
      </c>
      <c r="D70" s="5" t="s">
        <v>216</v>
      </c>
      <c r="E70" s="5" t="s">
        <v>91</v>
      </c>
      <c r="F70" s="5" t="s">
        <v>86</v>
      </c>
      <c r="G70" s="5" t="s">
        <v>106</v>
      </c>
      <c r="H70" s="5" t="s">
        <v>122</v>
      </c>
      <c r="I70" s="5">
        <v>18</v>
      </c>
      <c r="J70" s="7">
        <v>380</v>
      </c>
      <c r="K70" s="7">
        <v>6840</v>
      </c>
      <c r="L70" s="17">
        <v>4104</v>
      </c>
      <c r="M70" s="27">
        <f>Table2[[#This Row],[Total_Revenue_SAR]]-Table2[[#This Row],[Cost_SAR]]</f>
        <v>2736</v>
      </c>
      <c r="N70" s="36">
        <f>Table2[[#This Row],[Profit_SAR]]/Table2[[#This Row],[Total_Revenue_SAR]]</f>
        <v>0.4</v>
      </c>
      <c r="O70" t="str">
        <f>IF(Table2[[#This Row],[Profit_Margin%]]&gt;=40%,"High","Low")</f>
        <v>High</v>
      </c>
    </row>
    <row r="71" spans="1:15" x14ac:dyDescent="0.3">
      <c r="A71" s="14" t="s">
        <v>192</v>
      </c>
      <c r="B71" s="3">
        <v>45149</v>
      </c>
      <c r="C71" s="2" t="s">
        <v>182</v>
      </c>
      <c r="D71" s="5" t="s">
        <v>216</v>
      </c>
      <c r="E71" s="2" t="s">
        <v>80</v>
      </c>
      <c r="F71" s="2" t="s">
        <v>105</v>
      </c>
      <c r="G71" s="2" t="s">
        <v>106</v>
      </c>
      <c r="H71" s="2" t="s">
        <v>107</v>
      </c>
      <c r="I71" s="2">
        <v>23</v>
      </c>
      <c r="J71" s="4">
        <v>290</v>
      </c>
      <c r="K71" s="4">
        <v>6670</v>
      </c>
      <c r="L71" s="16">
        <v>4002</v>
      </c>
      <c r="M71" s="27">
        <f>Table2[[#This Row],[Total_Revenue_SAR]]-Table2[[#This Row],[Cost_SAR]]</f>
        <v>2668</v>
      </c>
      <c r="N71" s="36">
        <f>Table2[[#This Row],[Profit_SAR]]/Table2[[#This Row],[Total_Revenue_SAR]]</f>
        <v>0.4</v>
      </c>
      <c r="O71" t="str">
        <f>IF(Table2[[#This Row],[Profit_Margin%]]&gt;=40%,"High","Low")</f>
        <v>High</v>
      </c>
    </row>
    <row r="72" spans="1:15" x14ac:dyDescent="0.3">
      <c r="A72" s="15" t="s">
        <v>193</v>
      </c>
      <c r="B72" s="6">
        <v>45166</v>
      </c>
      <c r="C72" s="5" t="s">
        <v>182</v>
      </c>
      <c r="D72" s="5" t="s">
        <v>216</v>
      </c>
      <c r="E72" s="5" t="s">
        <v>93</v>
      </c>
      <c r="F72" s="5" t="s">
        <v>105</v>
      </c>
      <c r="G72" s="5" t="s">
        <v>102</v>
      </c>
      <c r="H72" s="5" t="s">
        <v>103</v>
      </c>
      <c r="I72" s="5">
        <v>9</v>
      </c>
      <c r="J72" s="7">
        <v>35</v>
      </c>
      <c r="K72" s="7">
        <v>315</v>
      </c>
      <c r="L72" s="17">
        <v>157.5</v>
      </c>
      <c r="M72" s="27">
        <f>Table2[[#This Row],[Total_Revenue_SAR]]-Table2[[#This Row],[Cost_SAR]]</f>
        <v>157.5</v>
      </c>
      <c r="N72" s="36">
        <f>Table2[[#This Row],[Profit_SAR]]/Table2[[#This Row],[Total_Revenue_SAR]]</f>
        <v>0.5</v>
      </c>
      <c r="O72" t="str">
        <f>IF(Table2[[#This Row],[Profit_Margin%]]&gt;=40%,"High","Low")</f>
        <v>High</v>
      </c>
    </row>
    <row r="73" spans="1:15" x14ac:dyDescent="0.3">
      <c r="A73" s="14" t="s">
        <v>194</v>
      </c>
      <c r="B73" s="3">
        <v>45140</v>
      </c>
      <c r="C73" s="2" t="s">
        <v>182</v>
      </c>
      <c r="D73" s="5" t="s">
        <v>216</v>
      </c>
      <c r="E73" s="2" t="s">
        <v>115</v>
      </c>
      <c r="F73" s="2" t="s">
        <v>98</v>
      </c>
      <c r="G73" s="2" t="s">
        <v>82</v>
      </c>
      <c r="H73" s="2" t="s">
        <v>89</v>
      </c>
      <c r="I73" s="2">
        <v>9</v>
      </c>
      <c r="J73" s="4">
        <v>450</v>
      </c>
      <c r="K73" s="4">
        <v>4050</v>
      </c>
      <c r="L73" s="16">
        <v>2632.5</v>
      </c>
      <c r="M73" s="27">
        <f>Table2[[#This Row],[Total_Revenue_SAR]]-Table2[[#This Row],[Cost_SAR]]</f>
        <v>1417.5</v>
      </c>
      <c r="N73" s="36">
        <f>Table2[[#This Row],[Profit_SAR]]/Table2[[#This Row],[Total_Revenue_SAR]]</f>
        <v>0.35</v>
      </c>
      <c r="O73" t="str">
        <f>IF(Table2[[#This Row],[Profit_Margin%]]&gt;=40%,"High","Low")</f>
        <v>Low</v>
      </c>
    </row>
    <row r="74" spans="1:15" x14ac:dyDescent="0.3">
      <c r="A74" s="15" t="s">
        <v>195</v>
      </c>
      <c r="B74" s="6">
        <v>45144</v>
      </c>
      <c r="C74" s="5" t="s">
        <v>182</v>
      </c>
      <c r="D74" s="5" t="s">
        <v>216</v>
      </c>
      <c r="E74" s="5" t="s">
        <v>91</v>
      </c>
      <c r="F74" s="5" t="s">
        <v>81</v>
      </c>
      <c r="G74" s="5" t="s">
        <v>82</v>
      </c>
      <c r="H74" s="5" t="s">
        <v>83</v>
      </c>
      <c r="I74" s="5">
        <v>9</v>
      </c>
      <c r="J74" s="7">
        <v>85</v>
      </c>
      <c r="K74" s="7">
        <v>765</v>
      </c>
      <c r="L74" s="17">
        <v>497.25</v>
      </c>
      <c r="M74" s="27">
        <f>Table2[[#This Row],[Total_Revenue_SAR]]-Table2[[#This Row],[Cost_SAR]]</f>
        <v>267.75</v>
      </c>
      <c r="N74" s="36">
        <f>Table2[[#This Row],[Profit_SAR]]/Table2[[#This Row],[Total_Revenue_SAR]]</f>
        <v>0.35</v>
      </c>
      <c r="O74" t="str">
        <f>IF(Table2[[#This Row],[Profit_Margin%]]&gt;=40%,"High","Low")</f>
        <v>Low</v>
      </c>
    </row>
    <row r="75" spans="1:15" x14ac:dyDescent="0.3">
      <c r="A75" s="14" t="s">
        <v>196</v>
      </c>
      <c r="B75" s="3">
        <v>45142</v>
      </c>
      <c r="C75" s="2" t="s">
        <v>182</v>
      </c>
      <c r="D75" s="5" t="s">
        <v>216</v>
      </c>
      <c r="E75" s="2" t="s">
        <v>85</v>
      </c>
      <c r="F75" s="2" t="s">
        <v>98</v>
      </c>
      <c r="G75" s="2" t="s">
        <v>109</v>
      </c>
      <c r="H75" s="2" t="s">
        <v>110</v>
      </c>
      <c r="I75" s="2">
        <v>1</v>
      </c>
      <c r="J75" s="4">
        <v>19</v>
      </c>
      <c r="K75" s="4">
        <v>19</v>
      </c>
      <c r="L75" s="16">
        <v>8.5500000000000007</v>
      </c>
      <c r="M75" s="27">
        <f>Table2[[#This Row],[Total_Revenue_SAR]]-Table2[[#This Row],[Cost_SAR]]</f>
        <v>10.45</v>
      </c>
      <c r="N75" s="36">
        <f>Table2[[#This Row],[Profit_SAR]]/Table2[[#This Row],[Total_Revenue_SAR]]</f>
        <v>0.54999999999999993</v>
      </c>
      <c r="O75" t="str">
        <f>IF(Table2[[#This Row],[Profit_Margin%]]&gt;=40%,"High","Low")</f>
        <v>High</v>
      </c>
    </row>
    <row r="76" spans="1:15" x14ac:dyDescent="0.3">
      <c r="A76" s="15" t="s">
        <v>197</v>
      </c>
      <c r="B76" s="6">
        <v>45157</v>
      </c>
      <c r="C76" s="5" t="s">
        <v>182</v>
      </c>
      <c r="D76" s="5" t="s">
        <v>216</v>
      </c>
      <c r="E76" s="5" t="s">
        <v>101</v>
      </c>
      <c r="F76" s="5" t="s">
        <v>105</v>
      </c>
      <c r="G76" s="5" t="s">
        <v>82</v>
      </c>
      <c r="H76" s="5" t="s">
        <v>99</v>
      </c>
      <c r="I76" s="5">
        <v>12</v>
      </c>
      <c r="J76" s="7">
        <v>320</v>
      </c>
      <c r="K76" s="7">
        <v>3840</v>
      </c>
      <c r="L76" s="17">
        <v>2496</v>
      </c>
      <c r="M76" s="27">
        <f>Table2[[#This Row],[Total_Revenue_SAR]]-Table2[[#This Row],[Cost_SAR]]</f>
        <v>1344</v>
      </c>
      <c r="N76" s="36">
        <f>Table2[[#This Row],[Profit_SAR]]/Table2[[#This Row],[Total_Revenue_SAR]]</f>
        <v>0.35</v>
      </c>
      <c r="O76" t="str">
        <f>IF(Table2[[#This Row],[Profit_Margin%]]&gt;=40%,"High","Low")</f>
        <v>Low</v>
      </c>
    </row>
    <row r="77" spans="1:15" x14ac:dyDescent="0.3">
      <c r="A77" s="14" t="s">
        <v>198</v>
      </c>
      <c r="B77" s="3">
        <v>45148</v>
      </c>
      <c r="C77" s="2" t="s">
        <v>182</v>
      </c>
      <c r="D77" s="5" t="s">
        <v>216</v>
      </c>
      <c r="E77" s="2" t="s">
        <v>80</v>
      </c>
      <c r="F77" s="2" t="s">
        <v>98</v>
      </c>
      <c r="G77" s="2" t="s">
        <v>94</v>
      </c>
      <c r="H77" s="2" t="s">
        <v>126</v>
      </c>
      <c r="I77" s="2">
        <v>2</v>
      </c>
      <c r="J77" s="4">
        <v>320</v>
      </c>
      <c r="K77" s="4">
        <v>640</v>
      </c>
      <c r="L77" s="16">
        <v>396.8</v>
      </c>
      <c r="M77" s="27">
        <f>Table2[[#This Row],[Total_Revenue_SAR]]-Table2[[#This Row],[Cost_SAR]]</f>
        <v>243.2</v>
      </c>
      <c r="N77" s="36">
        <f>Table2[[#This Row],[Profit_SAR]]/Table2[[#This Row],[Total_Revenue_SAR]]</f>
        <v>0.38</v>
      </c>
      <c r="O77" t="str">
        <f>IF(Table2[[#This Row],[Profit_Margin%]]&gt;=40%,"High","Low")</f>
        <v>Low</v>
      </c>
    </row>
    <row r="78" spans="1:15" x14ac:dyDescent="0.3">
      <c r="A78" s="15" t="s">
        <v>199</v>
      </c>
      <c r="B78" s="6">
        <v>45146</v>
      </c>
      <c r="C78" s="5" t="s">
        <v>182</v>
      </c>
      <c r="D78" s="5" t="s">
        <v>216</v>
      </c>
      <c r="E78" s="5" t="s">
        <v>80</v>
      </c>
      <c r="F78" s="5" t="s">
        <v>112</v>
      </c>
      <c r="G78" s="5" t="s">
        <v>106</v>
      </c>
      <c r="H78" s="5" t="s">
        <v>122</v>
      </c>
      <c r="I78" s="5">
        <v>22</v>
      </c>
      <c r="J78" s="7">
        <v>380</v>
      </c>
      <c r="K78" s="7">
        <v>8360</v>
      </c>
      <c r="L78" s="17">
        <v>5016</v>
      </c>
      <c r="M78" s="27">
        <f>Table2[[#This Row],[Total_Revenue_SAR]]-Table2[[#This Row],[Cost_SAR]]</f>
        <v>3344</v>
      </c>
      <c r="N78" s="36">
        <f>Table2[[#This Row],[Profit_SAR]]/Table2[[#This Row],[Total_Revenue_SAR]]</f>
        <v>0.4</v>
      </c>
      <c r="O78" t="str">
        <f>IF(Table2[[#This Row],[Profit_Margin%]]&gt;=40%,"High","Low")</f>
        <v>High</v>
      </c>
    </row>
    <row r="79" spans="1:15" x14ac:dyDescent="0.3">
      <c r="A79" s="14" t="s">
        <v>200</v>
      </c>
      <c r="B79" s="3">
        <v>45158</v>
      </c>
      <c r="C79" s="2" t="s">
        <v>182</v>
      </c>
      <c r="D79" s="5" t="s">
        <v>216</v>
      </c>
      <c r="E79" s="2" t="s">
        <v>115</v>
      </c>
      <c r="F79" s="2" t="s">
        <v>105</v>
      </c>
      <c r="G79" s="2" t="s">
        <v>82</v>
      </c>
      <c r="H79" s="2" t="s">
        <v>83</v>
      </c>
      <c r="I79" s="2">
        <v>14</v>
      </c>
      <c r="J79" s="4">
        <v>85</v>
      </c>
      <c r="K79" s="4">
        <v>1190</v>
      </c>
      <c r="L79" s="16">
        <v>773.5</v>
      </c>
      <c r="M79" s="27">
        <f>Table2[[#This Row],[Total_Revenue_SAR]]-Table2[[#This Row],[Cost_SAR]]</f>
        <v>416.5</v>
      </c>
      <c r="N79" s="36">
        <f>Table2[[#This Row],[Profit_SAR]]/Table2[[#This Row],[Total_Revenue_SAR]]</f>
        <v>0.35</v>
      </c>
      <c r="O79" t="str">
        <f>IF(Table2[[#This Row],[Profit_Margin%]]&gt;=40%,"High","Low")</f>
        <v>Low</v>
      </c>
    </row>
    <row r="80" spans="1:15" x14ac:dyDescent="0.3">
      <c r="A80" s="15" t="s">
        <v>201</v>
      </c>
      <c r="B80" s="6">
        <v>45175</v>
      </c>
      <c r="C80" s="5" t="s">
        <v>202</v>
      </c>
      <c r="D80" s="5" t="s">
        <v>216</v>
      </c>
      <c r="E80" s="5" t="s">
        <v>93</v>
      </c>
      <c r="F80" s="5" t="s">
        <v>81</v>
      </c>
      <c r="G80" s="5" t="s">
        <v>102</v>
      </c>
      <c r="H80" s="5" t="s">
        <v>124</v>
      </c>
      <c r="I80" s="5">
        <v>1</v>
      </c>
      <c r="J80" s="7">
        <v>25</v>
      </c>
      <c r="K80" s="7">
        <v>25</v>
      </c>
      <c r="L80" s="17">
        <v>12.5</v>
      </c>
      <c r="M80" s="27">
        <f>Table2[[#This Row],[Total_Revenue_SAR]]-Table2[[#This Row],[Cost_SAR]]</f>
        <v>12.5</v>
      </c>
      <c r="N80" s="36">
        <f>Table2[[#This Row],[Profit_SAR]]/Table2[[#This Row],[Total_Revenue_SAR]]</f>
        <v>0.5</v>
      </c>
      <c r="O80" t="str">
        <f>IF(Table2[[#This Row],[Profit_Margin%]]&gt;=40%,"High","Low")</f>
        <v>High</v>
      </c>
    </row>
    <row r="81" spans="1:15" x14ac:dyDescent="0.3">
      <c r="A81" s="14" t="s">
        <v>203</v>
      </c>
      <c r="B81" s="3">
        <v>45195</v>
      </c>
      <c r="C81" s="2" t="s">
        <v>202</v>
      </c>
      <c r="D81" s="5" t="s">
        <v>216</v>
      </c>
      <c r="E81" s="2" t="s">
        <v>97</v>
      </c>
      <c r="F81" s="2" t="s">
        <v>81</v>
      </c>
      <c r="G81" s="2" t="s">
        <v>106</v>
      </c>
      <c r="H81" s="2" t="s">
        <v>185</v>
      </c>
      <c r="I81" s="2">
        <v>6</v>
      </c>
      <c r="J81" s="4">
        <v>210</v>
      </c>
      <c r="K81" s="4">
        <v>1260</v>
      </c>
      <c r="L81" s="16">
        <v>756</v>
      </c>
      <c r="M81" s="27">
        <f>Table2[[#This Row],[Total_Revenue_SAR]]-Table2[[#This Row],[Cost_SAR]]</f>
        <v>504</v>
      </c>
      <c r="N81" s="36">
        <f>Table2[[#This Row],[Profit_SAR]]/Table2[[#This Row],[Total_Revenue_SAR]]</f>
        <v>0.4</v>
      </c>
      <c r="O81" t="str">
        <f>IF(Table2[[#This Row],[Profit_Margin%]]&gt;=40%,"High","Low")</f>
        <v>High</v>
      </c>
    </row>
    <row r="82" spans="1:15" x14ac:dyDescent="0.3">
      <c r="A82" s="15" t="s">
        <v>204</v>
      </c>
      <c r="B82" s="6">
        <v>45177</v>
      </c>
      <c r="C82" s="5" t="s">
        <v>202</v>
      </c>
      <c r="D82" s="5" t="s">
        <v>216</v>
      </c>
      <c r="E82" s="5" t="s">
        <v>115</v>
      </c>
      <c r="F82" s="5" t="s">
        <v>86</v>
      </c>
      <c r="G82" s="5" t="s">
        <v>82</v>
      </c>
      <c r="H82" s="5" t="s">
        <v>118</v>
      </c>
      <c r="I82" s="5">
        <v>16</v>
      </c>
      <c r="J82" s="7">
        <v>45</v>
      </c>
      <c r="K82" s="7">
        <v>720</v>
      </c>
      <c r="L82" s="17">
        <v>468</v>
      </c>
      <c r="M82" s="27">
        <f>Table2[[#This Row],[Total_Revenue_SAR]]-Table2[[#This Row],[Cost_SAR]]</f>
        <v>252</v>
      </c>
      <c r="N82" s="36">
        <f>Table2[[#This Row],[Profit_SAR]]/Table2[[#This Row],[Total_Revenue_SAR]]</f>
        <v>0.35</v>
      </c>
      <c r="O82" t="str">
        <f>IF(Table2[[#This Row],[Profit_Margin%]]&gt;=40%,"High","Low")</f>
        <v>Low</v>
      </c>
    </row>
    <row r="83" spans="1:15" x14ac:dyDescent="0.3">
      <c r="A83" s="14" t="s">
        <v>205</v>
      </c>
      <c r="B83" s="3">
        <v>45177</v>
      </c>
      <c r="C83" s="2" t="s">
        <v>202</v>
      </c>
      <c r="D83" s="5" t="s">
        <v>216</v>
      </c>
      <c r="E83" s="2" t="s">
        <v>97</v>
      </c>
      <c r="F83" s="2" t="s">
        <v>112</v>
      </c>
      <c r="G83" s="2" t="s">
        <v>102</v>
      </c>
      <c r="H83" s="2" t="s">
        <v>130</v>
      </c>
      <c r="I83" s="2">
        <v>8</v>
      </c>
      <c r="J83" s="4">
        <v>12</v>
      </c>
      <c r="K83" s="4">
        <v>96</v>
      </c>
      <c r="L83" s="16">
        <v>48</v>
      </c>
      <c r="M83" s="27">
        <f>Table2[[#This Row],[Total_Revenue_SAR]]-Table2[[#This Row],[Cost_SAR]]</f>
        <v>48</v>
      </c>
      <c r="N83" s="36">
        <f>Table2[[#This Row],[Profit_SAR]]/Table2[[#This Row],[Total_Revenue_SAR]]</f>
        <v>0.5</v>
      </c>
      <c r="O83" t="str">
        <f>IF(Table2[[#This Row],[Profit_Margin%]]&gt;=40%,"High","Low")</f>
        <v>High</v>
      </c>
    </row>
    <row r="84" spans="1:15" x14ac:dyDescent="0.3">
      <c r="A84" s="15" t="s">
        <v>206</v>
      </c>
      <c r="B84" s="6">
        <v>45197</v>
      </c>
      <c r="C84" s="5" t="s">
        <v>202</v>
      </c>
      <c r="D84" s="5" t="s">
        <v>216</v>
      </c>
      <c r="E84" s="5" t="s">
        <v>97</v>
      </c>
      <c r="F84" s="5" t="s">
        <v>98</v>
      </c>
      <c r="G84" s="5" t="s">
        <v>82</v>
      </c>
      <c r="H84" s="5" t="s">
        <v>99</v>
      </c>
      <c r="I84" s="5">
        <v>9</v>
      </c>
      <c r="J84" s="7">
        <v>320</v>
      </c>
      <c r="K84" s="7">
        <v>2880</v>
      </c>
      <c r="L84" s="17">
        <v>1872</v>
      </c>
      <c r="M84" s="27">
        <f>Table2[[#This Row],[Total_Revenue_SAR]]-Table2[[#This Row],[Cost_SAR]]</f>
        <v>1008</v>
      </c>
      <c r="N84" s="36">
        <f>Table2[[#This Row],[Profit_SAR]]/Table2[[#This Row],[Total_Revenue_SAR]]</f>
        <v>0.35</v>
      </c>
      <c r="O84" t="str">
        <f>IF(Table2[[#This Row],[Profit_Margin%]]&gt;=40%,"High","Low")</f>
        <v>Low</v>
      </c>
    </row>
    <row r="85" spans="1:15" x14ac:dyDescent="0.3">
      <c r="A85" s="14" t="s">
        <v>207</v>
      </c>
      <c r="B85" s="3">
        <v>45182</v>
      </c>
      <c r="C85" s="2" t="s">
        <v>202</v>
      </c>
      <c r="D85" s="5" t="s">
        <v>216</v>
      </c>
      <c r="E85" s="2" t="s">
        <v>91</v>
      </c>
      <c r="F85" s="2" t="s">
        <v>112</v>
      </c>
      <c r="G85" s="2" t="s">
        <v>82</v>
      </c>
      <c r="H85" s="2" t="s">
        <v>83</v>
      </c>
      <c r="I85" s="2">
        <v>17</v>
      </c>
      <c r="J85" s="4">
        <v>85</v>
      </c>
      <c r="K85" s="4">
        <v>1445</v>
      </c>
      <c r="L85" s="16">
        <v>939.25</v>
      </c>
      <c r="M85" s="27">
        <f>Table2[[#This Row],[Total_Revenue_SAR]]-Table2[[#This Row],[Cost_SAR]]</f>
        <v>505.75</v>
      </c>
      <c r="N85" s="36">
        <f>Table2[[#This Row],[Profit_SAR]]/Table2[[#This Row],[Total_Revenue_SAR]]</f>
        <v>0.35</v>
      </c>
      <c r="O85" t="str">
        <f>IF(Table2[[#This Row],[Profit_Margin%]]&gt;=40%,"High","Low")</f>
        <v>Low</v>
      </c>
    </row>
    <row r="86" spans="1:15" x14ac:dyDescent="0.3">
      <c r="A86" s="15" t="s">
        <v>208</v>
      </c>
      <c r="B86" s="6">
        <v>45175</v>
      </c>
      <c r="C86" s="5" t="s">
        <v>202</v>
      </c>
      <c r="D86" s="5" t="s">
        <v>216</v>
      </c>
      <c r="E86" s="5" t="s">
        <v>101</v>
      </c>
      <c r="F86" s="5" t="s">
        <v>86</v>
      </c>
      <c r="G86" s="5" t="s">
        <v>94</v>
      </c>
      <c r="H86" s="5" t="s">
        <v>138</v>
      </c>
      <c r="I86" s="5">
        <v>9</v>
      </c>
      <c r="J86" s="7">
        <v>280</v>
      </c>
      <c r="K86" s="7">
        <v>2520</v>
      </c>
      <c r="L86" s="17">
        <v>1562.4</v>
      </c>
      <c r="M86" s="27">
        <f>Table2[[#This Row],[Total_Revenue_SAR]]-Table2[[#This Row],[Cost_SAR]]</f>
        <v>957.59999999999991</v>
      </c>
      <c r="N86" s="36">
        <f>Table2[[#This Row],[Profit_SAR]]/Table2[[#This Row],[Total_Revenue_SAR]]</f>
        <v>0.37999999999999995</v>
      </c>
      <c r="O86" t="str">
        <f>IF(Table2[[#This Row],[Profit_Margin%]]&gt;=40%,"High","Low")</f>
        <v>Low</v>
      </c>
    </row>
    <row r="87" spans="1:15" x14ac:dyDescent="0.3">
      <c r="A87" s="14" t="s">
        <v>209</v>
      </c>
      <c r="B87" s="3">
        <v>45183</v>
      </c>
      <c r="C87" s="2" t="s">
        <v>202</v>
      </c>
      <c r="D87" s="5" t="s">
        <v>216</v>
      </c>
      <c r="E87" s="2" t="s">
        <v>101</v>
      </c>
      <c r="F87" s="2" t="s">
        <v>86</v>
      </c>
      <c r="G87" s="2" t="s">
        <v>94</v>
      </c>
      <c r="H87" s="2" t="s">
        <v>138</v>
      </c>
      <c r="I87" s="2">
        <v>20</v>
      </c>
      <c r="J87" s="4">
        <v>280</v>
      </c>
      <c r="K87" s="4">
        <v>5600</v>
      </c>
      <c r="L87" s="16">
        <v>3472</v>
      </c>
      <c r="M87" s="27">
        <f>Table2[[#This Row],[Total_Revenue_SAR]]-Table2[[#This Row],[Cost_SAR]]</f>
        <v>2128</v>
      </c>
      <c r="N87" s="36">
        <f>Table2[[#This Row],[Profit_SAR]]/Table2[[#This Row],[Total_Revenue_SAR]]</f>
        <v>0.38</v>
      </c>
      <c r="O87" t="str">
        <f>IF(Table2[[#This Row],[Profit_Margin%]]&gt;=40%,"High","Low")</f>
        <v>Low</v>
      </c>
    </row>
    <row r="88" spans="1:15" x14ac:dyDescent="0.3">
      <c r="A88" s="15" t="s">
        <v>210</v>
      </c>
      <c r="B88" s="6">
        <v>45173</v>
      </c>
      <c r="C88" s="5" t="s">
        <v>202</v>
      </c>
      <c r="D88" s="5" t="s">
        <v>216</v>
      </c>
      <c r="E88" s="5" t="s">
        <v>85</v>
      </c>
      <c r="F88" s="5" t="s">
        <v>98</v>
      </c>
      <c r="G88" s="5" t="s">
        <v>106</v>
      </c>
      <c r="H88" s="5" t="s">
        <v>107</v>
      </c>
      <c r="I88" s="5">
        <v>17</v>
      </c>
      <c r="J88" s="7">
        <v>290</v>
      </c>
      <c r="K88" s="7">
        <v>4930</v>
      </c>
      <c r="L88" s="17">
        <v>2958</v>
      </c>
      <c r="M88" s="27">
        <f>Table2[[#This Row],[Total_Revenue_SAR]]-Table2[[#This Row],[Cost_SAR]]</f>
        <v>1972</v>
      </c>
      <c r="N88" s="36">
        <f>Table2[[#This Row],[Profit_SAR]]/Table2[[#This Row],[Total_Revenue_SAR]]</f>
        <v>0.4</v>
      </c>
      <c r="O88" t="str">
        <f>IF(Table2[[#This Row],[Profit_Margin%]]&gt;=40%,"High","Low")</f>
        <v>High</v>
      </c>
    </row>
    <row r="89" spans="1:15" x14ac:dyDescent="0.3">
      <c r="A89" s="14" t="s">
        <v>211</v>
      </c>
      <c r="B89" s="3">
        <v>45192</v>
      </c>
      <c r="C89" s="2" t="s">
        <v>202</v>
      </c>
      <c r="D89" s="5" t="s">
        <v>216</v>
      </c>
      <c r="E89" s="2" t="s">
        <v>97</v>
      </c>
      <c r="F89" s="2" t="s">
        <v>81</v>
      </c>
      <c r="G89" s="2" t="s">
        <v>109</v>
      </c>
      <c r="H89" s="2" t="s">
        <v>110</v>
      </c>
      <c r="I89" s="2">
        <v>2</v>
      </c>
      <c r="J89" s="4">
        <v>19</v>
      </c>
      <c r="K89" s="4">
        <v>38</v>
      </c>
      <c r="L89" s="16">
        <v>17.100000000000001</v>
      </c>
      <c r="M89" s="27">
        <f>Table2[[#This Row],[Total_Revenue_SAR]]-Table2[[#This Row],[Cost_SAR]]</f>
        <v>20.9</v>
      </c>
      <c r="N89" s="36">
        <f>Table2[[#This Row],[Profit_SAR]]/Table2[[#This Row],[Total_Revenue_SAR]]</f>
        <v>0.54999999999999993</v>
      </c>
      <c r="O89" t="str">
        <f>IF(Table2[[#This Row],[Profit_Margin%]]&gt;=40%,"High","Low")</f>
        <v>High</v>
      </c>
    </row>
    <row r="90" spans="1:15" x14ac:dyDescent="0.3">
      <c r="A90" s="15" t="s">
        <v>212</v>
      </c>
      <c r="B90" s="6">
        <v>45191</v>
      </c>
      <c r="C90" s="5" t="s">
        <v>202</v>
      </c>
      <c r="D90" s="5" t="s">
        <v>216</v>
      </c>
      <c r="E90" s="5" t="s">
        <v>115</v>
      </c>
      <c r="F90" s="5" t="s">
        <v>105</v>
      </c>
      <c r="G90" s="5" t="s">
        <v>109</v>
      </c>
      <c r="H90" s="5" t="s">
        <v>146</v>
      </c>
      <c r="I90" s="5">
        <v>18</v>
      </c>
      <c r="J90" s="7">
        <v>22</v>
      </c>
      <c r="K90" s="7">
        <v>396</v>
      </c>
      <c r="L90" s="17">
        <v>178.2</v>
      </c>
      <c r="M90" s="27">
        <f>Table2[[#This Row],[Total_Revenue_SAR]]-Table2[[#This Row],[Cost_SAR]]</f>
        <v>217.8</v>
      </c>
      <c r="N90" s="36">
        <f>Table2[[#This Row],[Profit_SAR]]/Table2[[#This Row],[Total_Revenue_SAR]]</f>
        <v>0.55000000000000004</v>
      </c>
      <c r="O90" t="str">
        <f>IF(Table2[[#This Row],[Profit_Margin%]]&gt;=40%,"High","Low")</f>
        <v>High</v>
      </c>
    </row>
    <row r="91" spans="1:15" x14ac:dyDescent="0.3">
      <c r="A91" s="14" t="s">
        <v>213</v>
      </c>
      <c r="B91" s="3">
        <v>45180</v>
      </c>
      <c r="C91" s="2" t="s">
        <v>202</v>
      </c>
      <c r="D91" s="5" t="s">
        <v>216</v>
      </c>
      <c r="E91" s="2" t="s">
        <v>101</v>
      </c>
      <c r="F91" s="2" t="s">
        <v>98</v>
      </c>
      <c r="G91" s="2" t="s">
        <v>102</v>
      </c>
      <c r="H91" s="2" t="s">
        <v>103</v>
      </c>
      <c r="I91" s="2">
        <v>22</v>
      </c>
      <c r="J91" s="4">
        <v>35</v>
      </c>
      <c r="K91" s="4">
        <v>770</v>
      </c>
      <c r="L91" s="16">
        <v>385</v>
      </c>
      <c r="M91" s="27">
        <f>Table2[[#This Row],[Total_Revenue_SAR]]-Table2[[#This Row],[Cost_SAR]]</f>
        <v>385</v>
      </c>
      <c r="N91" s="36">
        <f>Table2[[#This Row],[Profit_SAR]]/Table2[[#This Row],[Total_Revenue_SAR]]</f>
        <v>0.5</v>
      </c>
      <c r="O91" t="str">
        <f>IF(Table2[[#This Row],[Profit_Margin%]]&gt;=40%,"High","Low")</f>
        <v>High</v>
      </c>
    </row>
    <row r="92" spans="1:15" x14ac:dyDescent="0.3">
      <c r="A92" s="15" t="s">
        <v>214</v>
      </c>
      <c r="B92" s="6">
        <v>45213</v>
      </c>
      <c r="C92" s="5" t="s">
        <v>215</v>
      </c>
      <c r="D92" s="5" t="s">
        <v>271</v>
      </c>
      <c r="E92" s="5" t="s">
        <v>97</v>
      </c>
      <c r="F92" s="5" t="s">
        <v>105</v>
      </c>
      <c r="G92" s="5" t="s">
        <v>82</v>
      </c>
      <c r="H92" s="5" t="s">
        <v>83</v>
      </c>
      <c r="I92" s="5">
        <v>22</v>
      </c>
      <c r="J92" s="7">
        <v>85</v>
      </c>
      <c r="K92" s="7">
        <v>1870</v>
      </c>
      <c r="L92" s="17">
        <v>1215.5</v>
      </c>
      <c r="M92" s="27">
        <f>Table2[[#This Row],[Total_Revenue_SAR]]-Table2[[#This Row],[Cost_SAR]]</f>
        <v>654.5</v>
      </c>
      <c r="N92" s="36">
        <f>Table2[[#This Row],[Profit_SAR]]/Table2[[#This Row],[Total_Revenue_SAR]]</f>
        <v>0.35</v>
      </c>
      <c r="O92" t="str">
        <f>IF(Table2[[#This Row],[Profit_Margin%]]&gt;=40%,"High","Low")</f>
        <v>Low</v>
      </c>
    </row>
    <row r="93" spans="1:15" x14ac:dyDescent="0.3">
      <c r="A93" s="14" t="s">
        <v>217</v>
      </c>
      <c r="B93" s="3">
        <v>45206</v>
      </c>
      <c r="C93" s="2" t="s">
        <v>215</v>
      </c>
      <c r="D93" s="5" t="s">
        <v>271</v>
      </c>
      <c r="E93" s="2" t="s">
        <v>85</v>
      </c>
      <c r="F93" s="2" t="s">
        <v>112</v>
      </c>
      <c r="G93" s="2" t="s">
        <v>106</v>
      </c>
      <c r="H93" s="2" t="s">
        <v>185</v>
      </c>
      <c r="I93" s="2">
        <v>5</v>
      </c>
      <c r="J93" s="4">
        <v>210</v>
      </c>
      <c r="K93" s="4">
        <v>1050</v>
      </c>
      <c r="L93" s="16">
        <v>630</v>
      </c>
      <c r="M93" s="27">
        <f>Table2[[#This Row],[Total_Revenue_SAR]]-Table2[[#This Row],[Cost_SAR]]</f>
        <v>420</v>
      </c>
      <c r="N93" s="36">
        <f>Table2[[#This Row],[Profit_SAR]]/Table2[[#This Row],[Total_Revenue_SAR]]</f>
        <v>0.4</v>
      </c>
      <c r="O93" t="str">
        <f>IF(Table2[[#This Row],[Profit_Margin%]]&gt;=40%,"High","Low")</f>
        <v>High</v>
      </c>
    </row>
    <row r="94" spans="1:15" x14ac:dyDescent="0.3">
      <c r="A94" s="15" t="s">
        <v>218</v>
      </c>
      <c r="B94" s="6">
        <v>45209</v>
      </c>
      <c r="C94" s="5" t="s">
        <v>215</v>
      </c>
      <c r="D94" s="5" t="s">
        <v>271</v>
      </c>
      <c r="E94" s="5" t="s">
        <v>85</v>
      </c>
      <c r="F94" s="5" t="s">
        <v>81</v>
      </c>
      <c r="G94" s="5" t="s">
        <v>109</v>
      </c>
      <c r="H94" s="5" t="s">
        <v>161</v>
      </c>
      <c r="I94" s="5">
        <v>19</v>
      </c>
      <c r="J94" s="7">
        <v>14</v>
      </c>
      <c r="K94" s="7">
        <v>266</v>
      </c>
      <c r="L94" s="17">
        <v>119.7</v>
      </c>
      <c r="M94" s="27">
        <f>Table2[[#This Row],[Total_Revenue_SAR]]-Table2[[#This Row],[Cost_SAR]]</f>
        <v>146.30000000000001</v>
      </c>
      <c r="N94" s="36">
        <f>Table2[[#This Row],[Profit_SAR]]/Table2[[#This Row],[Total_Revenue_SAR]]</f>
        <v>0.55000000000000004</v>
      </c>
      <c r="O94" t="str">
        <f>IF(Table2[[#This Row],[Profit_Margin%]]&gt;=40%,"High","Low")</f>
        <v>High</v>
      </c>
    </row>
    <row r="95" spans="1:15" x14ac:dyDescent="0.3">
      <c r="A95" s="14" t="s">
        <v>219</v>
      </c>
      <c r="B95" s="3">
        <v>45206</v>
      </c>
      <c r="C95" s="2" t="s">
        <v>215</v>
      </c>
      <c r="D95" s="5" t="s">
        <v>271</v>
      </c>
      <c r="E95" s="2" t="s">
        <v>97</v>
      </c>
      <c r="F95" s="2" t="s">
        <v>86</v>
      </c>
      <c r="G95" s="2" t="s">
        <v>109</v>
      </c>
      <c r="H95" s="2" t="s">
        <v>110</v>
      </c>
      <c r="I95" s="2">
        <v>10</v>
      </c>
      <c r="J95" s="4">
        <v>19</v>
      </c>
      <c r="K95" s="4">
        <v>190</v>
      </c>
      <c r="L95" s="16">
        <v>85.5</v>
      </c>
      <c r="M95" s="27">
        <f>Table2[[#This Row],[Total_Revenue_SAR]]-Table2[[#This Row],[Cost_SAR]]</f>
        <v>104.5</v>
      </c>
      <c r="N95" s="36">
        <f>Table2[[#This Row],[Profit_SAR]]/Table2[[#This Row],[Total_Revenue_SAR]]</f>
        <v>0.55000000000000004</v>
      </c>
      <c r="O95" t="str">
        <f>IF(Table2[[#This Row],[Profit_Margin%]]&gt;=40%,"High","Low")</f>
        <v>High</v>
      </c>
    </row>
    <row r="96" spans="1:15" x14ac:dyDescent="0.3">
      <c r="A96" s="15" t="s">
        <v>220</v>
      </c>
      <c r="B96" s="6">
        <v>45214</v>
      </c>
      <c r="C96" s="5" t="s">
        <v>215</v>
      </c>
      <c r="D96" s="5" t="s">
        <v>271</v>
      </c>
      <c r="E96" s="5" t="s">
        <v>91</v>
      </c>
      <c r="F96" s="5" t="s">
        <v>105</v>
      </c>
      <c r="G96" s="5" t="s">
        <v>109</v>
      </c>
      <c r="H96" s="5" t="s">
        <v>110</v>
      </c>
      <c r="I96" s="5">
        <v>11</v>
      </c>
      <c r="J96" s="7">
        <v>19</v>
      </c>
      <c r="K96" s="7">
        <v>209</v>
      </c>
      <c r="L96" s="17">
        <v>94.05</v>
      </c>
      <c r="M96" s="27">
        <f>Table2[[#This Row],[Total_Revenue_SAR]]-Table2[[#This Row],[Cost_SAR]]</f>
        <v>114.95</v>
      </c>
      <c r="N96" s="36">
        <f>Table2[[#This Row],[Profit_SAR]]/Table2[[#This Row],[Total_Revenue_SAR]]</f>
        <v>0.55000000000000004</v>
      </c>
      <c r="O96" t="str">
        <f>IF(Table2[[#This Row],[Profit_Margin%]]&gt;=40%,"High","Low")</f>
        <v>High</v>
      </c>
    </row>
    <row r="97" spans="1:15" x14ac:dyDescent="0.3">
      <c r="A97" s="14" t="s">
        <v>221</v>
      </c>
      <c r="B97" s="3">
        <v>45225</v>
      </c>
      <c r="C97" s="2" t="s">
        <v>215</v>
      </c>
      <c r="D97" s="5" t="s">
        <v>271</v>
      </c>
      <c r="E97" s="2" t="s">
        <v>85</v>
      </c>
      <c r="F97" s="2" t="s">
        <v>81</v>
      </c>
      <c r="G97" s="2" t="s">
        <v>109</v>
      </c>
      <c r="H97" s="2" t="s">
        <v>161</v>
      </c>
      <c r="I97" s="2">
        <v>16</v>
      </c>
      <c r="J97" s="4">
        <v>14</v>
      </c>
      <c r="K97" s="4">
        <v>224</v>
      </c>
      <c r="L97" s="16">
        <v>100.8</v>
      </c>
      <c r="M97" s="27">
        <f>Table2[[#This Row],[Total_Revenue_SAR]]-Table2[[#This Row],[Cost_SAR]]</f>
        <v>123.2</v>
      </c>
      <c r="N97" s="36">
        <f>Table2[[#This Row],[Profit_SAR]]/Table2[[#This Row],[Total_Revenue_SAR]]</f>
        <v>0.55000000000000004</v>
      </c>
      <c r="O97" t="str">
        <f>IF(Table2[[#This Row],[Profit_Margin%]]&gt;=40%,"High","Low")</f>
        <v>High</v>
      </c>
    </row>
    <row r="98" spans="1:15" x14ac:dyDescent="0.3">
      <c r="A98" s="15" t="s">
        <v>222</v>
      </c>
      <c r="B98" s="6">
        <v>45220</v>
      </c>
      <c r="C98" s="5" t="s">
        <v>215</v>
      </c>
      <c r="D98" s="5" t="s">
        <v>271</v>
      </c>
      <c r="E98" s="5" t="s">
        <v>85</v>
      </c>
      <c r="F98" s="5" t="s">
        <v>112</v>
      </c>
      <c r="G98" s="5" t="s">
        <v>102</v>
      </c>
      <c r="H98" s="5" t="s">
        <v>178</v>
      </c>
      <c r="I98" s="5">
        <v>22</v>
      </c>
      <c r="J98" s="7">
        <v>18</v>
      </c>
      <c r="K98" s="7">
        <v>396</v>
      </c>
      <c r="L98" s="17">
        <v>198</v>
      </c>
      <c r="M98" s="27">
        <f>Table2[[#This Row],[Total_Revenue_SAR]]-Table2[[#This Row],[Cost_SAR]]</f>
        <v>198</v>
      </c>
      <c r="N98" s="36">
        <f>Table2[[#This Row],[Profit_SAR]]/Table2[[#This Row],[Total_Revenue_SAR]]</f>
        <v>0.5</v>
      </c>
      <c r="O98" t="str">
        <f>IF(Table2[[#This Row],[Profit_Margin%]]&gt;=40%,"High","Low")</f>
        <v>High</v>
      </c>
    </row>
    <row r="99" spans="1:15" x14ac:dyDescent="0.3">
      <c r="A99" s="14" t="s">
        <v>223</v>
      </c>
      <c r="B99" s="3">
        <v>45207</v>
      </c>
      <c r="C99" s="2" t="s">
        <v>215</v>
      </c>
      <c r="D99" s="5" t="s">
        <v>271</v>
      </c>
      <c r="E99" s="2" t="s">
        <v>115</v>
      </c>
      <c r="F99" s="2" t="s">
        <v>86</v>
      </c>
      <c r="G99" s="2" t="s">
        <v>94</v>
      </c>
      <c r="H99" s="2" t="s">
        <v>138</v>
      </c>
      <c r="I99" s="2">
        <v>25</v>
      </c>
      <c r="J99" s="4">
        <v>280</v>
      </c>
      <c r="K99" s="4">
        <v>7000</v>
      </c>
      <c r="L99" s="16">
        <v>4340</v>
      </c>
      <c r="M99" s="27">
        <f>Table2[[#This Row],[Total_Revenue_SAR]]-Table2[[#This Row],[Cost_SAR]]</f>
        <v>2660</v>
      </c>
      <c r="N99" s="36">
        <f>Table2[[#This Row],[Profit_SAR]]/Table2[[#This Row],[Total_Revenue_SAR]]</f>
        <v>0.38</v>
      </c>
      <c r="O99" t="str">
        <f>IF(Table2[[#This Row],[Profit_Margin%]]&gt;=40%,"High","Low")</f>
        <v>Low</v>
      </c>
    </row>
    <row r="100" spans="1:15" x14ac:dyDescent="0.3">
      <c r="A100" s="15" t="s">
        <v>224</v>
      </c>
      <c r="B100" s="6">
        <v>45201</v>
      </c>
      <c r="C100" s="5" t="s">
        <v>215</v>
      </c>
      <c r="D100" s="5" t="s">
        <v>271</v>
      </c>
      <c r="E100" s="5" t="s">
        <v>80</v>
      </c>
      <c r="F100" s="5" t="s">
        <v>81</v>
      </c>
      <c r="G100" s="5" t="s">
        <v>106</v>
      </c>
      <c r="H100" s="5" t="s">
        <v>120</v>
      </c>
      <c r="I100" s="5">
        <v>1</v>
      </c>
      <c r="J100" s="7">
        <v>620</v>
      </c>
      <c r="K100" s="7">
        <v>620</v>
      </c>
      <c r="L100" s="17">
        <v>372</v>
      </c>
      <c r="M100" s="27">
        <f>Table2[[#This Row],[Total_Revenue_SAR]]-Table2[[#This Row],[Cost_SAR]]</f>
        <v>248</v>
      </c>
      <c r="N100" s="36">
        <f>Table2[[#This Row],[Profit_SAR]]/Table2[[#This Row],[Total_Revenue_SAR]]</f>
        <v>0.4</v>
      </c>
      <c r="O100" t="str">
        <f>IF(Table2[[#This Row],[Profit_Margin%]]&gt;=40%,"High","Low")</f>
        <v>High</v>
      </c>
    </row>
    <row r="101" spans="1:15" x14ac:dyDescent="0.3">
      <c r="A101" s="14" t="s">
        <v>225</v>
      </c>
      <c r="B101" s="3">
        <v>45202</v>
      </c>
      <c r="C101" s="2" t="s">
        <v>215</v>
      </c>
      <c r="D101" s="5" t="s">
        <v>271</v>
      </c>
      <c r="E101" s="2" t="s">
        <v>115</v>
      </c>
      <c r="F101" s="2" t="s">
        <v>105</v>
      </c>
      <c r="G101" s="2" t="s">
        <v>102</v>
      </c>
      <c r="H101" s="2" t="s">
        <v>130</v>
      </c>
      <c r="I101" s="2">
        <v>25</v>
      </c>
      <c r="J101" s="4">
        <v>12</v>
      </c>
      <c r="K101" s="4">
        <v>300</v>
      </c>
      <c r="L101" s="16">
        <v>150</v>
      </c>
      <c r="M101" s="27">
        <f>Table2[[#This Row],[Total_Revenue_SAR]]-Table2[[#This Row],[Cost_SAR]]</f>
        <v>150</v>
      </c>
      <c r="N101" s="36">
        <f>Table2[[#This Row],[Profit_SAR]]/Table2[[#This Row],[Total_Revenue_SAR]]</f>
        <v>0.5</v>
      </c>
      <c r="O101" t="str">
        <f>IF(Table2[[#This Row],[Profit_Margin%]]&gt;=40%,"High","Low")</f>
        <v>High</v>
      </c>
    </row>
    <row r="102" spans="1:15" x14ac:dyDescent="0.3">
      <c r="A102" s="15" t="s">
        <v>226</v>
      </c>
      <c r="B102" s="6">
        <v>45222</v>
      </c>
      <c r="C102" s="5" t="s">
        <v>215</v>
      </c>
      <c r="D102" s="5" t="s">
        <v>271</v>
      </c>
      <c r="E102" s="5" t="s">
        <v>80</v>
      </c>
      <c r="F102" s="5" t="s">
        <v>105</v>
      </c>
      <c r="G102" s="5" t="s">
        <v>109</v>
      </c>
      <c r="H102" s="5" t="s">
        <v>161</v>
      </c>
      <c r="I102" s="5">
        <v>23</v>
      </c>
      <c r="J102" s="7">
        <v>14</v>
      </c>
      <c r="K102" s="7">
        <v>322</v>
      </c>
      <c r="L102" s="17">
        <v>144.9</v>
      </c>
      <c r="M102" s="27">
        <f>Table2[[#This Row],[Total_Revenue_SAR]]-Table2[[#This Row],[Cost_SAR]]</f>
        <v>177.1</v>
      </c>
      <c r="N102" s="36">
        <f>Table2[[#This Row],[Profit_SAR]]/Table2[[#This Row],[Total_Revenue_SAR]]</f>
        <v>0.54999999999999993</v>
      </c>
      <c r="O102" t="str">
        <f>IF(Table2[[#This Row],[Profit_Margin%]]&gt;=40%,"High","Low")</f>
        <v>High</v>
      </c>
    </row>
    <row r="103" spans="1:15" x14ac:dyDescent="0.3">
      <c r="A103" s="14" t="s">
        <v>227</v>
      </c>
      <c r="B103" s="3">
        <v>45220</v>
      </c>
      <c r="C103" s="2" t="s">
        <v>215</v>
      </c>
      <c r="D103" s="5" t="s">
        <v>271</v>
      </c>
      <c r="E103" s="2" t="s">
        <v>80</v>
      </c>
      <c r="F103" s="2" t="s">
        <v>98</v>
      </c>
      <c r="G103" s="2" t="s">
        <v>109</v>
      </c>
      <c r="H103" s="2" t="s">
        <v>161</v>
      </c>
      <c r="I103" s="2">
        <v>5</v>
      </c>
      <c r="J103" s="4">
        <v>14</v>
      </c>
      <c r="K103" s="4">
        <v>70</v>
      </c>
      <c r="L103" s="16">
        <v>31.5</v>
      </c>
      <c r="M103" s="27">
        <f>Table2[[#This Row],[Total_Revenue_SAR]]-Table2[[#This Row],[Cost_SAR]]</f>
        <v>38.5</v>
      </c>
      <c r="N103" s="36">
        <f>Table2[[#This Row],[Profit_SAR]]/Table2[[#This Row],[Total_Revenue_SAR]]</f>
        <v>0.55000000000000004</v>
      </c>
      <c r="O103" t="str">
        <f>IF(Table2[[#This Row],[Profit_Margin%]]&gt;=40%,"High","Low")</f>
        <v>High</v>
      </c>
    </row>
    <row r="104" spans="1:15" x14ac:dyDescent="0.3">
      <c r="A104" s="15" t="s">
        <v>228</v>
      </c>
      <c r="B104" s="6">
        <v>45225</v>
      </c>
      <c r="C104" s="5" t="s">
        <v>215</v>
      </c>
      <c r="D104" s="5" t="s">
        <v>271</v>
      </c>
      <c r="E104" s="5" t="s">
        <v>80</v>
      </c>
      <c r="F104" s="5" t="s">
        <v>98</v>
      </c>
      <c r="G104" s="5" t="s">
        <v>82</v>
      </c>
      <c r="H104" s="5" t="s">
        <v>89</v>
      </c>
      <c r="I104" s="5">
        <v>6</v>
      </c>
      <c r="J104" s="7">
        <v>450</v>
      </c>
      <c r="K104" s="7">
        <v>2700</v>
      </c>
      <c r="L104" s="17">
        <v>1755</v>
      </c>
      <c r="M104" s="27">
        <f>Table2[[#This Row],[Total_Revenue_SAR]]-Table2[[#This Row],[Cost_SAR]]</f>
        <v>945</v>
      </c>
      <c r="N104" s="36">
        <f>Table2[[#This Row],[Profit_SAR]]/Table2[[#This Row],[Total_Revenue_SAR]]</f>
        <v>0.35</v>
      </c>
      <c r="O104" t="str">
        <f>IF(Table2[[#This Row],[Profit_Margin%]]&gt;=40%,"High","Low")</f>
        <v>Low</v>
      </c>
    </row>
    <row r="105" spans="1:15" x14ac:dyDescent="0.3">
      <c r="A105" s="14" t="s">
        <v>229</v>
      </c>
      <c r="B105" s="3">
        <v>45227</v>
      </c>
      <c r="C105" s="2" t="s">
        <v>215</v>
      </c>
      <c r="D105" s="5" t="s">
        <v>271</v>
      </c>
      <c r="E105" s="2" t="s">
        <v>85</v>
      </c>
      <c r="F105" s="2" t="s">
        <v>86</v>
      </c>
      <c r="G105" s="2" t="s">
        <v>94</v>
      </c>
      <c r="H105" s="2" t="s">
        <v>95</v>
      </c>
      <c r="I105" s="2">
        <v>8</v>
      </c>
      <c r="J105" s="4">
        <v>175</v>
      </c>
      <c r="K105" s="4">
        <v>1400</v>
      </c>
      <c r="L105" s="16">
        <v>868</v>
      </c>
      <c r="M105" s="27">
        <f>Table2[[#This Row],[Total_Revenue_SAR]]-Table2[[#This Row],[Cost_SAR]]</f>
        <v>532</v>
      </c>
      <c r="N105" s="36">
        <f>Table2[[#This Row],[Profit_SAR]]/Table2[[#This Row],[Total_Revenue_SAR]]</f>
        <v>0.38</v>
      </c>
      <c r="O105" t="str">
        <f>IF(Table2[[#This Row],[Profit_Margin%]]&gt;=40%,"High","Low")</f>
        <v>Low</v>
      </c>
    </row>
    <row r="106" spans="1:15" x14ac:dyDescent="0.3">
      <c r="A106" s="15" t="s">
        <v>230</v>
      </c>
      <c r="B106" s="6">
        <v>45221</v>
      </c>
      <c r="C106" s="5" t="s">
        <v>215</v>
      </c>
      <c r="D106" s="5" t="s">
        <v>271</v>
      </c>
      <c r="E106" s="5" t="s">
        <v>115</v>
      </c>
      <c r="F106" s="5" t="s">
        <v>81</v>
      </c>
      <c r="G106" s="5" t="s">
        <v>82</v>
      </c>
      <c r="H106" s="5" t="s">
        <v>118</v>
      </c>
      <c r="I106" s="5">
        <v>15</v>
      </c>
      <c r="J106" s="7">
        <v>45</v>
      </c>
      <c r="K106" s="7">
        <v>675</v>
      </c>
      <c r="L106" s="17">
        <v>438.75</v>
      </c>
      <c r="M106" s="27">
        <f>Table2[[#This Row],[Total_Revenue_SAR]]-Table2[[#This Row],[Cost_SAR]]</f>
        <v>236.25</v>
      </c>
      <c r="N106" s="36">
        <f>Table2[[#This Row],[Profit_SAR]]/Table2[[#This Row],[Total_Revenue_SAR]]</f>
        <v>0.35</v>
      </c>
      <c r="O106" t="str">
        <f>IF(Table2[[#This Row],[Profit_Margin%]]&gt;=40%,"High","Low")</f>
        <v>Low</v>
      </c>
    </row>
    <row r="107" spans="1:15" x14ac:dyDescent="0.3">
      <c r="A107" s="14" t="s">
        <v>231</v>
      </c>
      <c r="B107" s="3">
        <v>45250</v>
      </c>
      <c r="C107" s="2" t="s">
        <v>232</v>
      </c>
      <c r="D107" s="5" t="s">
        <v>271</v>
      </c>
      <c r="E107" s="2" t="s">
        <v>115</v>
      </c>
      <c r="F107" s="2" t="s">
        <v>112</v>
      </c>
      <c r="G107" s="2" t="s">
        <v>94</v>
      </c>
      <c r="H107" s="2" t="s">
        <v>233</v>
      </c>
      <c r="I107" s="2">
        <v>15</v>
      </c>
      <c r="J107" s="4">
        <v>490</v>
      </c>
      <c r="K107" s="4">
        <v>7350</v>
      </c>
      <c r="L107" s="16">
        <v>4557</v>
      </c>
      <c r="M107" s="27">
        <f>Table2[[#This Row],[Total_Revenue_SAR]]-Table2[[#This Row],[Cost_SAR]]</f>
        <v>2793</v>
      </c>
      <c r="N107" s="36">
        <f>Table2[[#This Row],[Profit_SAR]]/Table2[[#This Row],[Total_Revenue_SAR]]</f>
        <v>0.38</v>
      </c>
      <c r="O107" t="str">
        <f>IF(Table2[[#This Row],[Profit_Margin%]]&gt;=40%,"High","Low")</f>
        <v>Low</v>
      </c>
    </row>
    <row r="108" spans="1:15" x14ac:dyDescent="0.3">
      <c r="A108" s="15" t="s">
        <v>234</v>
      </c>
      <c r="B108" s="6">
        <v>45254</v>
      </c>
      <c r="C108" s="5" t="s">
        <v>232</v>
      </c>
      <c r="D108" s="5" t="s">
        <v>271</v>
      </c>
      <c r="E108" s="5" t="s">
        <v>93</v>
      </c>
      <c r="F108" s="5" t="s">
        <v>105</v>
      </c>
      <c r="G108" s="5" t="s">
        <v>94</v>
      </c>
      <c r="H108" s="5" t="s">
        <v>95</v>
      </c>
      <c r="I108" s="5">
        <v>6</v>
      </c>
      <c r="J108" s="7">
        <v>175</v>
      </c>
      <c r="K108" s="7">
        <v>1050</v>
      </c>
      <c r="L108" s="17">
        <v>651</v>
      </c>
      <c r="M108" s="27">
        <f>Table2[[#This Row],[Total_Revenue_SAR]]-Table2[[#This Row],[Cost_SAR]]</f>
        <v>399</v>
      </c>
      <c r="N108" s="36">
        <f>Table2[[#This Row],[Profit_SAR]]/Table2[[#This Row],[Total_Revenue_SAR]]</f>
        <v>0.38</v>
      </c>
      <c r="O108" t="str">
        <f>IF(Table2[[#This Row],[Profit_Margin%]]&gt;=40%,"High","Low")</f>
        <v>Low</v>
      </c>
    </row>
    <row r="109" spans="1:15" x14ac:dyDescent="0.3">
      <c r="A109" s="14" t="s">
        <v>235</v>
      </c>
      <c r="B109" s="3">
        <v>45257</v>
      </c>
      <c r="C109" s="2" t="s">
        <v>232</v>
      </c>
      <c r="D109" s="5" t="s">
        <v>271</v>
      </c>
      <c r="E109" s="2" t="s">
        <v>115</v>
      </c>
      <c r="F109" s="2" t="s">
        <v>112</v>
      </c>
      <c r="G109" s="2" t="s">
        <v>109</v>
      </c>
      <c r="H109" s="2" t="s">
        <v>161</v>
      </c>
      <c r="I109" s="2">
        <v>8</v>
      </c>
      <c r="J109" s="4">
        <v>14</v>
      </c>
      <c r="K109" s="4">
        <v>112</v>
      </c>
      <c r="L109" s="16">
        <v>50.4</v>
      </c>
      <c r="M109" s="27">
        <f>Table2[[#This Row],[Total_Revenue_SAR]]-Table2[[#This Row],[Cost_SAR]]</f>
        <v>61.6</v>
      </c>
      <c r="N109" s="36">
        <f>Table2[[#This Row],[Profit_SAR]]/Table2[[#This Row],[Total_Revenue_SAR]]</f>
        <v>0.55000000000000004</v>
      </c>
      <c r="O109" t="str">
        <f>IF(Table2[[#This Row],[Profit_Margin%]]&gt;=40%,"High","Low")</f>
        <v>High</v>
      </c>
    </row>
    <row r="110" spans="1:15" x14ac:dyDescent="0.3">
      <c r="A110" s="15" t="s">
        <v>236</v>
      </c>
      <c r="B110" s="6">
        <v>45239</v>
      </c>
      <c r="C110" s="5" t="s">
        <v>232</v>
      </c>
      <c r="D110" s="5" t="s">
        <v>271</v>
      </c>
      <c r="E110" s="5" t="s">
        <v>91</v>
      </c>
      <c r="F110" s="5" t="s">
        <v>98</v>
      </c>
      <c r="G110" s="5" t="s">
        <v>106</v>
      </c>
      <c r="H110" s="5" t="s">
        <v>113</v>
      </c>
      <c r="I110" s="5">
        <v>8</v>
      </c>
      <c r="J110" s="7">
        <v>175</v>
      </c>
      <c r="K110" s="7">
        <v>1400</v>
      </c>
      <c r="L110" s="17">
        <v>840</v>
      </c>
      <c r="M110" s="27">
        <f>Table2[[#This Row],[Total_Revenue_SAR]]-Table2[[#This Row],[Cost_SAR]]</f>
        <v>560</v>
      </c>
      <c r="N110" s="36">
        <f>Table2[[#This Row],[Profit_SAR]]/Table2[[#This Row],[Total_Revenue_SAR]]</f>
        <v>0.4</v>
      </c>
      <c r="O110" t="str">
        <f>IF(Table2[[#This Row],[Profit_Margin%]]&gt;=40%,"High","Low")</f>
        <v>High</v>
      </c>
    </row>
    <row r="111" spans="1:15" x14ac:dyDescent="0.3">
      <c r="A111" s="14" t="s">
        <v>237</v>
      </c>
      <c r="B111" s="3">
        <v>45241</v>
      </c>
      <c r="C111" s="2" t="s">
        <v>232</v>
      </c>
      <c r="D111" s="5" t="s">
        <v>271</v>
      </c>
      <c r="E111" s="2" t="s">
        <v>80</v>
      </c>
      <c r="F111" s="2" t="s">
        <v>112</v>
      </c>
      <c r="G111" s="2" t="s">
        <v>109</v>
      </c>
      <c r="H111" s="2" t="s">
        <v>146</v>
      </c>
      <c r="I111" s="2">
        <v>9</v>
      </c>
      <c r="J111" s="4">
        <v>22</v>
      </c>
      <c r="K111" s="4">
        <v>198</v>
      </c>
      <c r="L111" s="16">
        <v>89.1</v>
      </c>
      <c r="M111" s="27">
        <f>Table2[[#This Row],[Total_Revenue_SAR]]-Table2[[#This Row],[Cost_SAR]]</f>
        <v>108.9</v>
      </c>
      <c r="N111" s="36">
        <f>Table2[[#This Row],[Profit_SAR]]/Table2[[#This Row],[Total_Revenue_SAR]]</f>
        <v>0.55000000000000004</v>
      </c>
      <c r="O111" t="str">
        <f>IF(Table2[[#This Row],[Profit_Margin%]]&gt;=40%,"High","Low")</f>
        <v>High</v>
      </c>
    </row>
    <row r="112" spans="1:15" x14ac:dyDescent="0.3">
      <c r="A112" s="15" t="s">
        <v>238</v>
      </c>
      <c r="B112" s="6">
        <v>45238</v>
      </c>
      <c r="C112" s="5" t="s">
        <v>232</v>
      </c>
      <c r="D112" s="5" t="s">
        <v>271</v>
      </c>
      <c r="E112" s="5" t="s">
        <v>80</v>
      </c>
      <c r="F112" s="5" t="s">
        <v>86</v>
      </c>
      <c r="G112" s="5" t="s">
        <v>106</v>
      </c>
      <c r="H112" s="5" t="s">
        <v>113</v>
      </c>
      <c r="I112" s="5">
        <v>5</v>
      </c>
      <c r="J112" s="7">
        <v>175</v>
      </c>
      <c r="K112" s="7">
        <v>875</v>
      </c>
      <c r="L112" s="17">
        <v>525</v>
      </c>
      <c r="M112" s="27">
        <f>Table2[[#This Row],[Total_Revenue_SAR]]-Table2[[#This Row],[Cost_SAR]]</f>
        <v>350</v>
      </c>
      <c r="N112" s="36">
        <f>Table2[[#This Row],[Profit_SAR]]/Table2[[#This Row],[Total_Revenue_SAR]]</f>
        <v>0.4</v>
      </c>
      <c r="O112" t="str">
        <f>IF(Table2[[#This Row],[Profit_Margin%]]&gt;=40%,"High","Low")</f>
        <v>High</v>
      </c>
    </row>
    <row r="113" spans="1:15" x14ac:dyDescent="0.3">
      <c r="A113" s="14" t="s">
        <v>239</v>
      </c>
      <c r="B113" s="3">
        <v>45244</v>
      </c>
      <c r="C113" s="2" t="s">
        <v>232</v>
      </c>
      <c r="D113" s="5" t="s">
        <v>271</v>
      </c>
      <c r="E113" s="2" t="s">
        <v>101</v>
      </c>
      <c r="F113" s="2" t="s">
        <v>81</v>
      </c>
      <c r="G113" s="2" t="s">
        <v>109</v>
      </c>
      <c r="H113" s="2" t="s">
        <v>240</v>
      </c>
      <c r="I113" s="2">
        <v>14</v>
      </c>
      <c r="J113" s="4">
        <v>38</v>
      </c>
      <c r="K113" s="4">
        <v>532</v>
      </c>
      <c r="L113" s="16">
        <v>239.4</v>
      </c>
      <c r="M113" s="27">
        <f>Table2[[#This Row],[Total_Revenue_SAR]]-Table2[[#This Row],[Cost_SAR]]</f>
        <v>292.60000000000002</v>
      </c>
      <c r="N113" s="36">
        <f>Table2[[#This Row],[Profit_SAR]]/Table2[[#This Row],[Total_Revenue_SAR]]</f>
        <v>0.55000000000000004</v>
      </c>
      <c r="O113" t="str">
        <f>IF(Table2[[#This Row],[Profit_Margin%]]&gt;=40%,"High","Low")</f>
        <v>High</v>
      </c>
    </row>
    <row r="114" spans="1:15" x14ac:dyDescent="0.3">
      <c r="A114" s="15" t="s">
        <v>241</v>
      </c>
      <c r="B114" s="6">
        <v>45237</v>
      </c>
      <c r="C114" s="5" t="s">
        <v>232</v>
      </c>
      <c r="D114" s="5" t="s">
        <v>271</v>
      </c>
      <c r="E114" s="5" t="s">
        <v>93</v>
      </c>
      <c r="F114" s="5" t="s">
        <v>98</v>
      </c>
      <c r="G114" s="5" t="s">
        <v>106</v>
      </c>
      <c r="H114" s="5" t="s">
        <v>113</v>
      </c>
      <c r="I114" s="5">
        <v>2</v>
      </c>
      <c r="J114" s="7">
        <v>175</v>
      </c>
      <c r="K114" s="7">
        <v>350</v>
      </c>
      <c r="L114" s="17">
        <v>210</v>
      </c>
      <c r="M114" s="27">
        <f>Table2[[#This Row],[Total_Revenue_SAR]]-Table2[[#This Row],[Cost_SAR]]</f>
        <v>140</v>
      </c>
      <c r="N114" s="36">
        <f>Table2[[#This Row],[Profit_SAR]]/Table2[[#This Row],[Total_Revenue_SAR]]</f>
        <v>0.4</v>
      </c>
      <c r="O114" t="str">
        <f>IF(Table2[[#This Row],[Profit_Margin%]]&gt;=40%,"High","Low")</f>
        <v>High</v>
      </c>
    </row>
    <row r="115" spans="1:15" x14ac:dyDescent="0.3">
      <c r="A115" s="14" t="s">
        <v>242</v>
      </c>
      <c r="B115" s="3">
        <v>45258</v>
      </c>
      <c r="C115" s="2" t="s">
        <v>232</v>
      </c>
      <c r="D115" s="5" t="s">
        <v>271</v>
      </c>
      <c r="E115" s="2" t="s">
        <v>91</v>
      </c>
      <c r="F115" s="2" t="s">
        <v>105</v>
      </c>
      <c r="G115" s="2" t="s">
        <v>109</v>
      </c>
      <c r="H115" s="2" t="s">
        <v>161</v>
      </c>
      <c r="I115" s="2">
        <v>1</v>
      </c>
      <c r="J115" s="4">
        <v>14</v>
      </c>
      <c r="K115" s="4">
        <v>14</v>
      </c>
      <c r="L115" s="16">
        <v>6.3</v>
      </c>
      <c r="M115" s="27">
        <f>Table2[[#This Row],[Total_Revenue_SAR]]-Table2[[#This Row],[Cost_SAR]]</f>
        <v>7.7</v>
      </c>
      <c r="N115" s="36">
        <f>Table2[[#This Row],[Profit_SAR]]/Table2[[#This Row],[Total_Revenue_SAR]]</f>
        <v>0.55000000000000004</v>
      </c>
      <c r="O115" t="str">
        <f>IF(Table2[[#This Row],[Profit_Margin%]]&gt;=40%,"High","Low")</f>
        <v>High</v>
      </c>
    </row>
    <row r="116" spans="1:15" x14ac:dyDescent="0.3">
      <c r="A116" s="15" t="s">
        <v>243</v>
      </c>
      <c r="B116" s="6">
        <v>45240</v>
      </c>
      <c r="C116" s="5" t="s">
        <v>232</v>
      </c>
      <c r="D116" s="5" t="s">
        <v>271</v>
      </c>
      <c r="E116" s="5" t="s">
        <v>101</v>
      </c>
      <c r="F116" s="5" t="s">
        <v>98</v>
      </c>
      <c r="G116" s="5" t="s">
        <v>94</v>
      </c>
      <c r="H116" s="5" t="s">
        <v>95</v>
      </c>
      <c r="I116" s="5">
        <v>12</v>
      </c>
      <c r="J116" s="7">
        <v>175</v>
      </c>
      <c r="K116" s="7">
        <v>2100</v>
      </c>
      <c r="L116" s="17">
        <v>1302</v>
      </c>
      <c r="M116" s="27">
        <f>Table2[[#This Row],[Total_Revenue_SAR]]-Table2[[#This Row],[Cost_SAR]]</f>
        <v>798</v>
      </c>
      <c r="N116" s="36">
        <f>Table2[[#This Row],[Profit_SAR]]/Table2[[#This Row],[Total_Revenue_SAR]]</f>
        <v>0.38</v>
      </c>
      <c r="O116" t="str">
        <f>IF(Table2[[#This Row],[Profit_Margin%]]&gt;=40%,"High","Low")</f>
        <v>Low</v>
      </c>
    </row>
    <row r="117" spans="1:15" x14ac:dyDescent="0.3">
      <c r="A117" s="14" t="s">
        <v>244</v>
      </c>
      <c r="B117" s="3">
        <v>45248</v>
      </c>
      <c r="C117" s="2" t="s">
        <v>232</v>
      </c>
      <c r="D117" s="5" t="s">
        <v>271</v>
      </c>
      <c r="E117" s="2" t="s">
        <v>91</v>
      </c>
      <c r="F117" s="2" t="s">
        <v>105</v>
      </c>
      <c r="G117" s="2" t="s">
        <v>109</v>
      </c>
      <c r="H117" s="2" t="s">
        <v>161</v>
      </c>
      <c r="I117" s="2">
        <v>24</v>
      </c>
      <c r="J117" s="4">
        <v>14</v>
      </c>
      <c r="K117" s="4">
        <v>336</v>
      </c>
      <c r="L117" s="16">
        <v>151.19999999999999</v>
      </c>
      <c r="M117" s="27">
        <f>Table2[[#This Row],[Total_Revenue_SAR]]-Table2[[#This Row],[Cost_SAR]]</f>
        <v>184.8</v>
      </c>
      <c r="N117" s="36">
        <f>Table2[[#This Row],[Profit_SAR]]/Table2[[#This Row],[Total_Revenue_SAR]]</f>
        <v>0.55000000000000004</v>
      </c>
      <c r="O117" t="str">
        <f>IF(Table2[[#This Row],[Profit_Margin%]]&gt;=40%,"High","Low")</f>
        <v>High</v>
      </c>
    </row>
    <row r="118" spans="1:15" x14ac:dyDescent="0.3">
      <c r="A118" s="15" t="s">
        <v>245</v>
      </c>
      <c r="B118" s="6">
        <v>45244</v>
      </c>
      <c r="C118" s="5" t="s">
        <v>232</v>
      </c>
      <c r="D118" s="5" t="s">
        <v>271</v>
      </c>
      <c r="E118" s="5" t="s">
        <v>80</v>
      </c>
      <c r="F118" s="5" t="s">
        <v>98</v>
      </c>
      <c r="G118" s="5" t="s">
        <v>94</v>
      </c>
      <c r="H118" s="5" t="s">
        <v>126</v>
      </c>
      <c r="I118" s="5">
        <v>9</v>
      </c>
      <c r="J118" s="7">
        <v>320</v>
      </c>
      <c r="K118" s="7">
        <v>2880</v>
      </c>
      <c r="L118" s="17">
        <v>1785.6</v>
      </c>
      <c r="M118" s="27">
        <f>Table2[[#This Row],[Total_Revenue_SAR]]-Table2[[#This Row],[Cost_SAR]]</f>
        <v>1094.4000000000001</v>
      </c>
      <c r="N118" s="36">
        <f>Table2[[#This Row],[Profit_SAR]]/Table2[[#This Row],[Total_Revenue_SAR]]</f>
        <v>0.38</v>
      </c>
      <c r="O118" t="str">
        <f>IF(Table2[[#This Row],[Profit_Margin%]]&gt;=40%,"High","Low")</f>
        <v>Low</v>
      </c>
    </row>
    <row r="119" spans="1:15" x14ac:dyDescent="0.3">
      <c r="A119" s="14" t="s">
        <v>246</v>
      </c>
      <c r="B119" s="3">
        <v>45252</v>
      </c>
      <c r="C119" s="2" t="s">
        <v>232</v>
      </c>
      <c r="D119" s="5" t="s">
        <v>271</v>
      </c>
      <c r="E119" s="2" t="s">
        <v>97</v>
      </c>
      <c r="F119" s="2" t="s">
        <v>98</v>
      </c>
      <c r="G119" s="2" t="s">
        <v>109</v>
      </c>
      <c r="H119" s="2" t="s">
        <v>146</v>
      </c>
      <c r="I119" s="2">
        <v>22</v>
      </c>
      <c r="J119" s="4">
        <v>22</v>
      </c>
      <c r="K119" s="4">
        <v>484</v>
      </c>
      <c r="L119" s="16">
        <v>217.8</v>
      </c>
      <c r="M119" s="27">
        <f>Table2[[#This Row],[Total_Revenue_SAR]]-Table2[[#This Row],[Cost_SAR]]</f>
        <v>266.2</v>
      </c>
      <c r="N119" s="36">
        <f>Table2[[#This Row],[Profit_SAR]]/Table2[[#This Row],[Total_Revenue_SAR]]</f>
        <v>0.54999999999999993</v>
      </c>
      <c r="O119" t="str">
        <f>IF(Table2[[#This Row],[Profit_Margin%]]&gt;=40%,"High","Low")</f>
        <v>High</v>
      </c>
    </row>
    <row r="120" spans="1:15" x14ac:dyDescent="0.3">
      <c r="A120" s="15" t="s">
        <v>247</v>
      </c>
      <c r="B120" s="6">
        <v>45248</v>
      </c>
      <c r="C120" s="5" t="s">
        <v>232</v>
      </c>
      <c r="D120" s="5" t="s">
        <v>271</v>
      </c>
      <c r="E120" s="5" t="s">
        <v>80</v>
      </c>
      <c r="F120" s="5" t="s">
        <v>98</v>
      </c>
      <c r="G120" s="5" t="s">
        <v>109</v>
      </c>
      <c r="H120" s="5" t="s">
        <v>240</v>
      </c>
      <c r="I120" s="5">
        <v>20</v>
      </c>
      <c r="J120" s="7">
        <v>38</v>
      </c>
      <c r="K120" s="7">
        <v>760</v>
      </c>
      <c r="L120" s="17">
        <v>342</v>
      </c>
      <c r="M120" s="27">
        <f>Table2[[#This Row],[Total_Revenue_SAR]]-Table2[[#This Row],[Cost_SAR]]</f>
        <v>418</v>
      </c>
      <c r="N120" s="36">
        <f>Table2[[#This Row],[Profit_SAR]]/Table2[[#This Row],[Total_Revenue_SAR]]</f>
        <v>0.55000000000000004</v>
      </c>
      <c r="O120" t="str">
        <f>IF(Table2[[#This Row],[Profit_Margin%]]&gt;=40%,"High","Low")</f>
        <v>High</v>
      </c>
    </row>
    <row r="121" spans="1:15" x14ac:dyDescent="0.3">
      <c r="A121" s="14" t="s">
        <v>248</v>
      </c>
      <c r="B121" s="3">
        <v>45231</v>
      </c>
      <c r="C121" s="2" t="s">
        <v>232</v>
      </c>
      <c r="D121" s="5" t="s">
        <v>271</v>
      </c>
      <c r="E121" s="2" t="s">
        <v>85</v>
      </c>
      <c r="F121" s="2" t="s">
        <v>105</v>
      </c>
      <c r="G121" s="2" t="s">
        <v>82</v>
      </c>
      <c r="H121" s="2" t="s">
        <v>118</v>
      </c>
      <c r="I121" s="2">
        <v>22</v>
      </c>
      <c r="J121" s="4">
        <v>45</v>
      </c>
      <c r="K121" s="4">
        <v>990</v>
      </c>
      <c r="L121" s="16">
        <v>643.5</v>
      </c>
      <c r="M121" s="27">
        <f>Table2[[#This Row],[Total_Revenue_SAR]]-Table2[[#This Row],[Cost_SAR]]</f>
        <v>346.5</v>
      </c>
      <c r="N121" s="36">
        <f>Table2[[#This Row],[Profit_SAR]]/Table2[[#This Row],[Total_Revenue_SAR]]</f>
        <v>0.35</v>
      </c>
      <c r="O121" t="str">
        <f>IF(Table2[[#This Row],[Profit_Margin%]]&gt;=40%,"High","Low")</f>
        <v>Low</v>
      </c>
    </row>
    <row r="122" spans="1:15" x14ac:dyDescent="0.3">
      <c r="A122" s="15" t="s">
        <v>249</v>
      </c>
      <c r="B122" s="6">
        <v>45236</v>
      </c>
      <c r="C122" s="5" t="s">
        <v>232</v>
      </c>
      <c r="D122" s="5" t="s">
        <v>271</v>
      </c>
      <c r="E122" s="5" t="s">
        <v>115</v>
      </c>
      <c r="F122" s="5" t="s">
        <v>81</v>
      </c>
      <c r="G122" s="5" t="s">
        <v>82</v>
      </c>
      <c r="H122" s="5" t="s">
        <v>118</v>
      </c>
      <c r="I122" s="5">
        <v>15</v>
      </c>
      <c r="J122" s="7">
        <v>45</v>
      </c>
      <c r="K122" s="7">
        <v>675</v>
      </c>
      <c r="L122" s="17">
        <v>438.75</v>
      </c>
      <c r="M122" s="27">
        <f>Table2[[#This Row],[Total_Revenue_SAR]]-Table2[[#This Row],[Cost_SAR]]</f>
        <v>236.25</v>
      </c>
      <c r="N122" s="36">
        <f>Table2[[#This Row],[Profit_SAR]]/Table2[[#This Row],[Total_Revenue_SAR]]</f>
        <v>0.35</v>
      </c>
      <c r="O122" t="str">
        <f>IF(Table2[[#This Row],[Profit_Margin%]]&gt;=40%,"High","Low")</f>
        <v>Low</v>
      </c>
    </row>
    <row r="123" spans="1:15" x14ac:dyDescent="0.3">
      <c r="A123" s="14" t="s">
        <v>250</v>
      </c>
      <c r="B123" s="3">
        <v>45245</v>
      </c>
      <c r="C123" s="2" t="s">
        <v>232</v>
      </c>
      <c r="D123" s="5" t="s">
        <v>271</v>
      </c>
      <c r="E123" s="2" t="s">
        <v>97</v>
      </c>
      <c r="F123" s="2" t="s">
        <v>98</v>
      </c>
      <c r="G123" s="2" t="s">
        <v>82</v>
      </c>
      <c r="H123" s="2" t="s">
        <v>83</v>
      </c>
      <c r="I123" s="2">
        <v>7</v>
      </c>
      <c r="J123" s="4">
        <v>85</v>
      </c>
      <c r="K123" s="4">
        <v>595</v>
      </c>
      <c r="L123" s="16">
        <v>386.75</v>
      </c>
      <c r="M123" s="27">
        <f>Table2[[#This Row],[Total_Revenue_SAR]]-Table2[[#This Row],[Cost_SAR]]</f>
        <v>208.25</v>
      </c>
      <c r="N123" s="36">
        <f>Table2[[#This Row],[Profit_SAR]]/Table2[[#This Row],[Total_Revenue_SAR]]</f>
        <v>0.35</v>
      </c>
      <c r="O123" t="str">
        <f>IF(Table2[[#This Row],[Profit_Margin%]]&gt;=40%,"High","Low")</f>
        <v>Low</v>
      </c>
    </row>
    <row r="124" spans="1:15" x14ac:dyDescent="0.3">
      <c r="A124" s="15" t="s">
        <v>251</v>
      </c>
      <c r="B124" s="6">
        <v>45257</v>
      </c>
      <c r="C124" s="5" t="s">
        <v>232</v>
      </c>
      <c r="D124" s="5" t="s">
        <v>271</v>
      </c>
      <c r="E124" s="5" t="s">
        <v>97</v>
      </c>
      <c r="F124" s="5" t="s">
        <v>98</v>
      </c>
      <c r="G124" s="5" t="s">
        <v>106</v>
      </c>
      <c r="H124" s="5" t="s">
        <v>107</v>
      </c>
      <c r="I124" s="5">
        <v>25</v>
      </c>
      <c r="J124" s="7">
        <v>290</v>
      </c>
      <c r="K124" s="7">
        <v>7250</v>
      </c>
      <c r="L124" s="17">
        <v>4350</v>
      </c>
      <c r="M124" s="27">
        <f>Table2[[#This Row],[Total_Revenue_SAR]]-Table2[[#This Row],[Cost_SAR]]</f>
        <v>2900</v>
      </c>
      <c r="N124" s="36">
        <f>Table2[[#This Row],[Profit_SAR]]/Table2[[#This Row],[Total_Revenue_SAR]]</f>
        <v>0.4</v>
      </c>
      <c r="O124" t="str">
        <f>IF(Table2[[#This Row],[Profit_Margin%]]&gt;=40%,"High","Low")</f>
        <v>High</v>
      </c>
    </row>
    <row r="125" spans="1:15" x14ac:dyDescent="0.3">
      <c r="A125" s="14" t="s">
        <v>252</v>
      </c>
      <c r="B125" s="3">
        <v>45278</v>
      </c>
      <c r="C125" s="2" t="s">
        <v>253</v>
      </c>
      <c r="D125" s="5" t="s">
        <v>271</v>
      </c>
      <c r="E125" s="2" t="s">
        <v>101</v>
      </c>
      <c r="F125" s="2" t="s">
        <v>98</v>
      </c>
      <c r="G125" s="2" t="s">
        <v>106</v>
      </c>
      <c r="H125" s="2" t="s">
        <v>122</v>
      </c>
      <c r="I125" s="2">
        <v>24</v>
      </c>
      <c r="J125" s="4">
        <v>380</v>
      </c>
      <c r="K125" s="4">
        <v>9120</v>
      </c>
      <c r="L125" s="16">
        <v>5472</v>
      </c>
      <c r="M125" s="27">
        <f>Table2[[#This Row],[Total_Revenue_SAR]]-Table2[[#This Row],[Cost_SAR]]</f>
        <v>3648</v>
      </c>
      <c r="N125" s="36">
        <f>Table2[[#This Row],[Profit_SAR]]/Table2[[#This Row],[Total_Revenue_SAR]]</f>
        <v>0.4</v>
      </c>
      <c r="O125" t="str">
        <f>IF(Table2[[#This Row],[Profit_Margin%]]&gt;=40%,"High","Low")</f>
        <v>High</v>
      </c>
    </row>
    <row r="126" spans="1:15" x14ac:dyDescent="0.3">
      <c r="A126" s="15" t="s">
        <v>254</v>
      </c>
      <c r="B126" s="6">
        <v>45285</v>
      </c>
      <c r="C126" s="5" t="s">
        <v>253</v>
      </c>
      <c r="D126" s="5" t="s">
        <v>271</v>
      </c>
      <c r="E126" s="5" t="s">
        <v>91</v>
      </c>
      <c r="F126" s="5" t="s">
        <v>81</v>
      </c>
      <c r="G126" s="5" t="s">
        <v>82</v>
      </c>
      <c r="H126" s="5" t="s">
        <v>83</v>
      </c>
      <c r="I126" s="5">
        <v>3</v>
      </c>
      <c r="J126" s="7">
        <v>85</v>
      </c>
      <c r="K126" s="7">
        <v>255</v>
      </c>
      <c r="L126" s="17">
        <v>165.75</v>
      </c>
      <c r="M126" s="27">
        <f>Table2[[#This Row],[Total_Revenue_SAR]]-Table2[[#This Row],[Cost_SAR]]</f>
        <v>89.25</v>
      </c>
      <c r="N126" s="36">
        <f>Table2[[#This Row],[Profit_SAR]]/Table2[[#This Row],[Total_Revenue_SAR]]</f>
        <v>0.35</v>
      </c>
      <c r="O126" t="str">
        <f>IF(Table2[[#This Row],[Profit_Margin%]]&gt;=40%,"High","Low")</f>
        <v>Low</v>
      </c>
    </row>
    <row r="127" spans="1:15" x14ac:dyDescent="0.3">
      <c r="A127" s="14" t="s">
        <v>255</v>
      </c>
      <c r="B127" s="3">
        <v>45280</v>
      </c>
      <c r="C127" s="2" t="s">
        <v>253</v>
      </c>
      <c r="D127" s="5" t="s">
        <v>271</v>
      </c>
      <c r="E127" s="2" t="s">
        <v>80</v>
      </c>
      <c r="F127" s="2" t="s">
        <v>81</v>
      </c>
      <c r="G127" s="2" t="s">
        <v>82</v>
      </c>
      <c r="H127" s="2" t="s">
        <v>89</v>
      </c>
      <c r="I127" s="2">
        <v>1</v>
      </c>
      <c r="J127" s="4">
        <v>450</v>
      </c>
      <c r="K127" s="4">
        <v>450</v>
      </c>
      <c r="L127" s="16">
        <v>292.5</v>
      </c>
      <c r="M127" s="27">
        <f>Table2[[#This Row],[Total_Revenue_SAR]]-Table2[[#This Row],[Cost_SAR]]</f>
        <v>157.5</v>
      </c>
      <c r="N127" s="36">
        <f>Table2[[#This Row],[Profit_SAR]]/Table2[[#This Row],[Total_Revenue_SAR]]</f>
        <v>0.35</v>
      </c>
      <c r="O127" t="str">
        <f>IF(Table2[[#This Row],[Profit_Margin%]]&gt;=40%,"High","Low")</f>
        <v>Low</v>
      </c>
    </row>
    <row r="128" spans="1:15" x14ac:dyDescent="0.3">
      <c r="A128" s="15" t="s">
        <v>256</v>
      </c>
      <c r="B128" s="6">
        <v>45264</v>
      </c>
      <c r="C128" s="5" t="s">
        <v>253</v>
      </c>
      <c r="D128" s="5" t="s">
        <v>271</v>
      </c>
      <c r="E128" s="5" t="s">
        <v>93</v>
      </c>
      <c r="F128" s="5" t="s">
        <v>81</v>
      </c>
      <c r="G128" s="5" t="s">
        <v>102</v>
      </c>
      <c r="H128" s="5" t="s">
        <v>124</v>
      </c>
      <c r="I128" s="5">
        <v>22</v>
      </c>
      <c r="J128" s="7">
        <v>25</v>
      </c>
      <c r="K128" s="7">
        <v>550</v>
      </c>
      <c r="L128" s="17">
        <v>275</v>
      </c>
      <c r="M128" s="27">
        <f>Table2[[#This Row],[Total_Revenue_SAR]]-Table2[[#This Row],[Cost_SAR]]</f>
        <v>275</v>
      </c>
      <c r="N128" s="36">
        <f>Table2[[#This Row],[Profit_SAR]]/Table2[[#This Row],[Total_Revenue_SAR]]</f>
        <v>0.5</v>
      </c>
      <c r="O128" t="str">
        <f>IF(Table2[[#This Row],[Profit_Margin%]]&gt;=40%,"High","Low")</f>
        <v>High</v>
      </c>
    </row>
    <row r="129" spans="1:15" x14ac:dyDescent="0.3">
      <c r="A129" s="14" t="s">
        <v>257</v>
      </c>
      <c r="B129" s="3">
        <v>45285</v>
      </c>
      <c r="C129" s="2" t="s">
        <v>253</v>
      </c>
      <c r="D129" s="5" t="s">
        <v>271</v>
      </c>
      <c r="E129" s="2" t="s">
        <v>91</v>
      </c>
      <c r="F129" s="2" t="s">
        <v>98</v>
      </c>
      <c r="G129" s="2" t="s">
        <v>94</v>
      </c>
      <c r="H129" s="2" t="s">
        <v>126</v>
      </c>
      <c r="I129" s="2">
        <v>9</v>
      </c>
      <c r="J129" s="4">
        <v>320</v>
      </c>
      <c r="K129" s="4">
        <v>2880</v>
      </c>
      <c r="L129" s="16">
        <v>1785.6</v>
      </c>
      <c r="M129" s="27">
        <f>Table2[[#This Row],[Total_Revenue_SAR]]-Table2[[#This Row],[Cost_SAR]]</f>
        <v>1094.4000000000001</v>
      </c>
      <c r="N129" s="36">
        <f>Table2[[#This Row],[Profit_SAR]]/Table2[[#This Row],[Total_Revenue_SAR]]</f>
        <v>0.38</v>
      </c>
      <c r="O129" t="str">
        <f>IF(Table2[[#This Row],[Profit_Margin%]]&gt;=40%,"High","Low")</f>
        <v>Low</v>
      </c>
    </row>
    <row r="130" spans="1:15" x14ac:dyDescent="0.3">
      <c r="A130" s="15" t="s">
        <v>258</v>
      </c>
      <c r="B130" s="6">
        <v>45283</v>
      </c>
      <c r="C130" s="5" t="s">
        <v>253</v>
      </c>
      <c r="D130" s="5" t="s">
        <v>271</v>
      </c>
      <c r="E130" s="5" t="s">
        <v>85</v>
      </c>
      <c r="F130" s="5" t="s">
        <v>105</v>
      </c>
      <c r="G130" s="5" t="s">
        <v>106</v>
      </c>
      <c r="H130" s="5" t="s">
        <v>120</v>
      </c>
      <c r="I130" s="5">
        <v>24</v>
      </c>
      <c r="J130" s="7">
        <v>620</v>
      </c>
      <c r="K130" s="7">
        <v>14880</v>
      </c>
      <c r="L130" s="17">
        <v>8928</v>
      </c>
      <c r="M130" s="27">
        <f>Table2[[#This Row],[Total_Revenue_SAR]]-Table2[[#This Row],[Cost_SAR]]</f>
        <v>5952</v>
      </c>
      <c r="N130" s="36">
        <f>Table2[[#This Row],[Profit_SAR]]/Table2[[#This Row],[Total_Revenue_SAR]]</f>
        <v>0.4</v>
      </c>
      <c r="O130" t="str">
        <f>IF(Table2[[#This Row],[Profit_Margin%]]&gt;=40%,"High","Low")</f>
        <v>High</v>
      </c>
    </row>
    <row r="131" spans="1:15" x14ac:dyDescent="0.3">
      <c r="A131" s="14" t="s">
        <v>259</v>
      </c>
      <c r="B131" s="3">
        <v>45261</v>
      </c>
      <c r="C131" s="2" t="s">
        <v>253</v>
      </c>
      <c r="D131" s="5" t="s">
        <v>271</v>
      </c>
      <c r="E131" s="2" t="s">
        <v>101</v>
      </c>
      <c r="F131" s="2" t="s">
        <v>112</v>
      </c>
      <c r="G131" s="2" t="s">
        <v>82</v>
      </c>
      <c r="H131" s="2" t="s">
        <v>99</v>
      </c>
      <c r="I131" s="2">
        <v>19</v>
      </c>
      <c r="J131" s="4">
        <v>320</v>
      </c>
      <c r="K131" s="4">
        <v>6080</v>
      </c>
      <c r="L131" s="16">
        <v>3952</v>
      </c>
      <c r="M131" s="27">
        <f>Table2[[#This Row],[Total_Revenue_SAR]]-Table2[[#This Row],[Cost_SAR]]</f>
        <v>2128</v>
      </c>
      <c r="N131" s="36">
        <f>Table2[[#This Row],[Profit_SAR]]/Table2[[#This Row],[Total_Revenue_SAR]]</f>
        <v>0.35</v>
      </c>
      <c r="O131" t="str">
        <f>IF(Table2[[#This Row],[Profit_Margin%]]&gt;=40%,"High","Low")</f>
        <v>Low</v>
      </c>
    </row>
    <row r="132" spans="1:15" x14ac:dyDescent="0.3">
      <c r="A132" s="15" t="s">
        <v>260</v>
      </c>
      <c r="B132" s="6">
        <v>45267</v>
      </c>
      <c r="C132" s="5" t="s">
        <v>253</v>
      </c>
      <c r="D132" s="5" t="s">
        <v>271</v>
      </c>
      <c r="E132" s="5" t="s">
        <v>93</v>
      </c>
      <c r="F132" s="5" t="s">
        <v>98</v>
      </c>
      <c r="G132" s="5" t="s">
        <v>106</v>
      </c>
      <c r="H132" s="5" t="s">
        <v>113</v>
      </c>
      <c r="I132" s="5">
        <v>23</v>
      </c>
      <c r="J132" s="7">
        <v>175</v>
      </c>
      <c r="K132" s="7">
        <v>4025</v>
      </c>
      <c r="L132" s="17">
        <v>2415</v>
      </c>
      <c r="M132" s="27">
        <f>Table2[[#This Row],[Total_Revenue_SAR]]-Table2[[#This Row],[Cost_SAR]]</f>
        <v>1610</v>
      </c>
      <c r="N132" s="36">
        <f>Table2[[#This Row],[Profit_SAR]]/Table2[[#This Row],[Total_Revenue_SAR]]</f>
        <v>0.4</v>
      </c>
      <c r="O132" t="str">
        <f>IF(Table2[[#This Row],[Profit_Margin%]]&gt;=40%,"High","Low")</f>
        <v>High</v>
      </c>
    </row>
    <row r="133" spans="1:15" x14ac:dyDescent="0.3">
      <c r="A133" s="14" t="s">
        <v>261</v>
      </c>
      <c r="B133" s="3">
        <v>45285</v>
      </c>
      <c r="C133" s="2" t="s">
        <v>253</v>
      </c>
      <c r="D133" s="5" t="s">
        <v>271</v>
      </c>
      <c r="E133" s="2" t="s">
        <v>101</v>
      </c>
      <c r="F133" s="2" t="s">
        <v>81</v>
      </c>
      <c r="G133" s="2" t="s">
        <v>82</v>
      </c>
      <c r="H133" s="2" t="s">
        <v>87</v>
      </c>
      <c r="I133" s="2">
        <v>23</v>
      </c>
      <c r="J133" s="4">
        <v>120</v>
      </c>
      <c r="K133" s="4">
        <v>2760</v>
      </c>
      <c r="L133" s="16">
        <v>1794</v>
      </c>
      <c r="M133" s="27">
        <f>Table2[[#This Row],[Total_Revenue_SAR]]-Table2[[#This Row],[Cost_SAR]]</f>
        <v>966</v>
      </c>
      <c r="N133" s="36">
        <f>Table2[[#This Row],[Profit_SAR]]/Table2[[#This Row],[Total_Revenue_SAR]]</f>
        <v>0.35</v>
      </c>
      <c r="O133" t="str">
        <f>IF(Table2[[#This Row],[Profit_Margin%]]&gt;=40%,"High","Low")</f>
        <v>Low</v>
      </c>
    </row>
    <row r="134" spans="1:15" x14ac:dyDescent="0.3">
      <c r="A134" s="15" t="s">
        <v>262</v>
      </c>
      <c r="B134" s="6">
        <v>45286</v>
      </c>
      <c r="C134" s="5" t="s">
        <v>253</v>
      </c>
      <c r="D134" s="5" t="s">
        <v>271</v>
      </c>
      <c r="E134" s="5" t="s">
        <v>115</v>
      </c>
      <c r="F134" s="5" t="s">
        <v>86</v>
      </c>
      <c r="G134" s="5" t="s">
        <v>106</v>
      </c>
      <c r="H134" s="5" t="s">
        <v>113</v>
      </c>
      <c r="I134" s="5">
        <v>19</v>
      </c>
      <c r="J134" s="7">
        <v>175</v>
      </c>
      <c r="K134" s="7">
        <v>3325</v>
      </c>
      <c r="L134" s="17">
        <v>1995</v>
      </c>
      <c r="M134" s="27">
        <f>Table2[[#This Row],[Total_Revenue_SAR]]-Table2[[#This Row],[Cost_SAR]]</f>
        <v>1330</v>
      </c>
      <c r="N134" s="36">
        <f>Table2[[#This Row],[Profit_SAR]]/Table2[[#This Row],[Total_Revenue_SAR]]</f>
        <v>0.4</v>
      </c>
      <c r="O134" t="str">
        <f>IF(Table2[[#This Row],[Profit_Margin%]]&gt;=40%,"High","Low")</f>
        <v>High</v>
      </c>
    </row>
    <row r="135" spans="1:15" x14ac:dyDescent="0.3">
      <c r="A135" s="14" t="s">
        <v>263</v>
      </c>
      <c r="B135" s="3">
        <v>45272</v>
      </c>
      <c r="C135" s="2" t="s">
        <v>253</v>
      </c>
      <c r="D135" s="5" t="s">
        <v>271</v>
      </c>
      <c r="E135" s="2" t="s">
        <v>93</v>
      </c>
      <c r="F135" s="2" t="s">
        <v>105</v>
      </c>
      <c r="G135" s="2" t="s">
        <v>82</v>
      </c>
      <c r="H135" s="2" t="s">
        <v>83</v>
      </c>
      <c r="I135" s="2">
        <v>22</v>
      </c>
      <c r="J135" s="4">
        <v>85</v>
      </c>
      <c r="K135" s="4">
        <v>1870</v>
      </c>
      <c r="L135" s="16">
        <v>1215.5</v>
      </c>
      <c r="M135" s="27">
        <f>Table2[[#This Row],[Total_Revenue_SAR]]-Table2[[#This Row],[Cost_SAR]]</f>
        <v>654.5</v>
      </c>
      <c r="N135" s="36">
        <f>Table2[[#This Row],[Profit_SAR]]/Table2[[#This Row],[Total_Revenue_SAR]]</f>
        <v>0.35</v>
      </c>
      <c r="O135" t="str">
        <f>IF(Table2[[#This Row],[Profit_Margin%]]&gt;=40%,"High","Low")</f>
        <v>Low</v>
      </c>
    </row>
    <row r="136" spans="1:15" x14ac:dyDescent="0.3">
      <c r="A136" s="15" t="s">
        <v>264</v>
      </c>
      <c r="B136" s="6">
        <v>45287</v>
      </c>
      <c r="C136" s="5" t="s">
        <v>253</v>
      </c>
      <c r="D136" s="5" t="s">
        <v>271</v>
      </c>
      <c r="E136" s="5" t="s">
        <v>101</v>
      </c>
      <c r="F136" s="5" t="s">
        <v>112</v>
      </c>
      <c r="G136" s="5" t="s">
        <v>82</v>
      </c>
      <c r="H136" s="5" t="s">
        <v>87</v>
      </c>
      <c r="I136" s="5">
        <v>14</v>
      </c>
      <c r="J136" s="7">
        <v>120</v>
      </c>
      <c r="K136" s="7">
        <v>1680</v>
      </c>
      <c r="L136" s="17">
        <v>1092</v>
      </c>
      <c r="M136" s="27">
        <f>Table2[[#This Row],[Total_Revenue_SAR]]-Table2[[#This Row],[Cost_SAR]]</f>
        <v>588</v>
      </c>
      <c r="N136" s="36">
        <f>Table2[[#This Row],[Profit_SAR]]/Table2[[#This Row],[Total_Revenue_SAR]]</f>
        <v>0.35</v>
      </c>
      <c r="O136" t="str">
        <f>IF(Table2[[#This Row],[Profit_Margin%]]&gt;=40%,"High","Low")</f>
        <v>Low</v>
      </c>
    </row>
    <row r="137" spans="1:15" x14ac:dyDescent="0.3">
      <c r="A137" s="14" t="s">
        <v>265</v>
      </c>
      <c r="B137" s="3">
        <v>45287</v>
      </c>
      <c r="C137" s="2" t="s">
        <v>253</v>
      </c>
      <c r="D137" s="5" t="s">
        <v>271</v>
      </c>
      <c r="E137" s="2" t="s">
        <v>97</v>
      </c>
      <c r="F137" s="2" t="s">
        <v>98</v>
      </c>
      <c r="G137" s="2" t="s">
        <v>109</v>
      </c>
      <c r="H137" s="2" t="s">
        <v>146</v>
      </c>
      <c r="I137" s="2">
        <v>21</v>
      </c>
      <c r="J137" s="4">
        <v>22</v>
      </c>
      <c r="K137" s="4">
        <v>462</v>
      </c>
      <c r="L137" s="16">
        <v>207.9</v>
      </c>
      <c r="M137" s="27">
        <f>Table2[[#This Row],[Total_Revenue_SAR]]-Table2[[#This Row],[Cost_SAR]]</f>
        <v>254.1</v>
      </c>
      <c r="N137" s="36">
        <f>Table2[[#This Row],[Profit_SAR]]/Table2[[#This Row],[Total_Revenue_SAR]]</f>
        <v>0.54999999999999993</v>
      </c>
      <c r="O137" t="str">
        <f>IF(Table2[[#This Row],[Profit_Margin%]]&gt;=40%,"High","Low")</f>
        <v>High</v>
      </c>
    </row>
    <row r="138" spans="1:15" x14ac:dyDescent="0.3">
      <c r="A138" s="15" t="s">
        <v>266</v>
      </c>
      <c r="B138" s="6">
        <v>45277</v>
      </c>
      <c r="C138" s="5" t="s">
        <v>253</v>
      </c>
      <c r="D138" s="5" t="s">
        <v>271</v>
      </c>
      <c r="E138" s="5" t="s">
        <v>80</v>
      </c>
      <c r="F138" s="5" t="s">
        <v>98</v>
      </c>
      <c r="G138" s="5" t="s">
        <v>109</v>
      </c>
      <c r="H138" s="5" t="s">
        <v>240</v>
      </c>
      <c r="I138" s="5">
        <v>24</v>
      </c>
      <c r="J138" s="7">
        <v>38</v>
      </c>
      <c r="K138" s="7">
        <v>912</v>
      </c>
      <c r="L138" s="17">
        <v>410.4</v>
      </c>
      <c r="M138" s="27">
        <f>Table2[[#This Row],[Total_Revenue_SAR]]-Table2[[#This Row],[Cost_SAR]]</f>
        <v>501.6</v>
      </c>
      <c r="N138" s="36">
        <f>Table2[[#This Row],[Profit_SAR]]/Table2[[#This Row],[Total_Revenue_SAR]]</f>
        <v>0.55000000000000004</v>
      </c>
      <c r="O138" t="str">
        <f>IF(Table2[[#This Row],[Profit_Margin%]]&gt;=40%,"High","Low")</f>
        <v>High</v>
      </c>
    </row>
    <row r="139" spans="1:15" x14ac:dyDescent="0.3">
      <c r="A139" s="14" t="s">
        <v>267</v>
      </c>
      <c r="B139" s="3">
        <v>45275</v>
      </c>
      <c r="C139" s="2" t="s">
        <v>253</v>
      </c>
      <c r="D139" s="5" t="s">
        <v>271</v>
      </c>
      <c r="E139" s="2" t="s">
        <v>115</v>
      </c>
      <c r="F139" s="2" t="s">
        <v>105</v>
      </c>
      <c r="G139" s="2" t="s">
        <v>106</v>
      </c>
      <c r="H139" s="2" t="s">
        <v>113</v>
      </c>
      <c r="I139" s="2">
        <v>16</v>
      </c>
      <c r="J139" s="4">
        <v>175</v>
      </c>
      <c r="K139" s="4">
        <v>2800</v>
      </c>
      <c r="L139" s="16">
        <v>1680</v>
      </c>
      <c r="M139" s="27">
        <f>Table2[[#This Row],[Total_Revenue_SAR]]-Table2[[#This Row],[Cost_SAR]]</f>
        <v>1120</v>
      </c>
      <c r="N139" s="36">
        <f>Table2[[#This Row],[Profit_SAR]]/Table2[[#This Row],[Total_Revenue_SAR]]</f>
        <v>0.4</v>
      </c>
      <c r="O139" t="str">
        <f>IF(Table2[[#This Row],[Profit_Margin%]]&gt;=40%,"High","Low")</f>
        <v>High</v>
      </c>
    </row>
    <row r="140" spans="1:15" x14ac:dyDescent="0.3">
      <c r="A140" s="15" t="s">
        <v>268</v>
      </c>
      <c r="B140" s="6">
        <v>45287</v>
      </c>
      <c r="C140" s="5" t="s">
        <v>253</v>
      </c>
      <c r="D140" s="5" t="s">
        <v>271</v>
      </c>
      <c r="E140" s="5" t="s">
        <v>97</v>
      </c>
      <c r="F140" s="5" t="s">
        <v>112</v>
      </c>
      <c r="G140" s="5" t="s">
        <v>109</v>
      </c>
      <c r="H140" s="5" t="s">
        <v>110</v>
      </c>
      <c r="I140" s="5">
        <v>8</v>
      </c>
      <c r="J140" s="7">
        <v>19</v>
      </c>
      <c r="K140" s="7">
        <v>152</v>
      </c>
      <c r="L140" s="17">
        <v>68.400000000000006</v>
      </c>
      <c r="M140" s="27">
        <f>Table2[[#This Row],[Total_Revenue_SAR]]-Table2[[#This Row],[Cost_SAR]]</f>
        <v>83.6</v>
      </c>
      <c r="N140" s="36">
        <f>Table2[[#This Row],[Profit_SAR]]/Table2[[#This Row],[Total_Revenue_SAR]]</f>
        <v>0.54999999999999993</v>
      </c>
      <c r="O140" t="str">
        <f>IF(Table2[[#This Row],[Profit_Margin%]]&gt;=40%,"High","Low")</f>
        <v>High</v>
      </c>
    </row>
    <row r="141" spans="1:15" x14ac:dyDescent="0.3">
      <c r="A141" s="14" t="s">
        <v>269</v>
      </c>
      <c r="B141" s="3">
        <v>45310</v>
      </c>
      <c r="C141" s="2" t="s">
        <v>270</v>
      </c>
      <c r="D141" s="2" t="s">
        <v>79</v>
      </c>
      <c r="E141" s="2" t="s">
        <v>115</v>
      </c>
      <c r="F141" s="2" t="s">
        <v>81</v>
      </c>
      <c r="G141" s="2" t="s">
        <v>106</v>
      </c>
      <c r="H141" s="2" t="s">
        <v>185</v>
      </c>
      <c r="I141" s="2">
        <v>15</v>
      </c>
      <c r="J141" s="4">
        <v>210</v>
      </c>
      <c r="K141" s="4">
        <v>3150</v>
      </c>
      <c r="L141" s="16">
        <v>1890</v>
      </c>
      <c r="M141" s="27">
        <f>Table2[[#This Row],[Total_Revenue_SAR]]-Table2[[#This Row],[Cost_SAR]]</f>
        <v>1260</v>
      </c>
      <c r="N141" s="36">
        <f>Table2[[#This Row],[Profit_SAR]]/Table2[[#This Row],[Total_Revenue_SAR]]</f>
        <v>0.4</v>
      </c>
      <c r="O141" t="str">
        <f>IF(Table2[[#This Row],[Profit_Margin%]]&gt;=40%,"High","Low")</f>
        <v>High</v>
      </c>
    </row>
    <row r="142" spans="1:15" x14ac:dyDescent="0.3">
      <c r="A142" s="15" t="s">
        <v>272</v>
      </c>
      <c r="B142" s="6">
        <v>45319</v>
      </c>
      <c r="C142" s="5" t="s">
        <v>270</v>
      </c>
      <c r="D142" s="2" t="s">
        <v>79</v>
      </c>
      <c r="E142" s="5" t="s">
        <v>101</v>
      </c>
      <c r="F142" s="5" t="s">
        <v>112</v>
      </c>
      <c r="G142" s="5" t="s">
        <v>94</v>
      </c>
      <c r="H142" s="5" t="s">
        <v>95</v>
      </c>
      <c r="I142" s="5">
        <v>16</v>
      </c>
      <c r="J142" s="7">
        <v>175</v>
      </c>
      <c r="K142" s="7">
        <v>2800</v>
      </c>
      <c r="L142" s="17">
        <v>1736</v>
      </c>
      <c r="M142" s="27">
        <f>Table2[[#This Row],[Total_Revenue_SAR]]-Table2[[#This Row],[Cost_SAR]]</f>
        <v>1064</v>
      </c>
      <c r="N142" s="36">
        <f>Table2[[#This Row],[Profit_SAR]]/Table2[[#This Row],[Total_Revenue_SAR]]</f>
        <v>0.38</v>
      </c>
      <c r="O142" t="str">
        <f>IF(Table2[[#This Row],[Profit_Margin%]]&gt;=40%,"High","Low")</f>
        <v>Low</v>
      </c>
    </row>
    <row r="143" spans="1:15" x14ac:dyDescent="0.3">
      <c r="A143" s="14" t="s">
        <v>273</v>
      </c>
      <c r="B143" s="3">
        <v>45317</v>
      </c>
      <c r="C143" s="2" t="s">
        <v>270</v>
      </c>
      <c r="D143" s="2" t="s">
        <v>79</v>
      </c>
      <c r="E143" s="2" t="s">
        <v>80</v>
      </c>
      <c r="F143" s="2" t="s">
        <v>98</v>
      </c>
      <c r="G143" s="2" t="s">
        <v>106</v>
      </c>
      <c r="H143" s="2" t="s">
        <v>120</v>
      </c>
      <c r="I143" s="2">
        <v>12</v>
      </c>
      <c r="J143" s="4">
        <v>620</v>
      </c>
      <c r="K143" s="4">
        <v>7440</v>
      </c>
      <c r="L143" s="16">
        <v>4464</v>
      </c>
      <c r="M143" s="27">
        <f>Table2[[#This Row],[Total_Revenue_SAR]]-Table2[[#This Row],[Cost_SAR]]</f>
        <v>2976</v>
      </c>
      <c r="N143" s="36">
        <f>Table2[[#This Row],[Profit_SAR]]/Table2[[#This Row],[Total_Revenue_SAR]]</f>
        <v>0.4</v>
      </c>
      <c r="O143" t="str">
        <f>IF(Table2[[#This Row],[Profit_Margin%]]&gt;=40%,"High","Low")</f>
        <v>High</v>
      </c>
    </row>
    <row r="144" spans="1:15" x14ac:dyDescent="0.3">
      <c r="A144" s="15" t="s">
        <v>274</v>
      </c>
      <c r="B144" s="6">
        <v>45300</v>
      </c>
      <c r="C144" s="5" t="s">
        <v>270</v>
      </c>
      <c r="D144" s="2" t="s">
        <v>79</v>
      </c>
      <c r="E144" s="5" t="s">
        <v>85</v>
      </c>
      <c r="F144" s="5" t="s">
        <v>112</v>
      </c>
      <c r="G144" s="5" t="s">
        <v>106</v>
      </c>
      <c r="H144" s="5" t="s">
        <v>107</v>
      </c>
      <c r="I144" s="5">
        <v>23</v>
      </c>
      <c r="J144" s="7">
        <v>290</v>
      </c>
      <c r="K144" s="7">
        <v>6670</v>
      </c>
      <c r="L144" s="17">
        <v>4002</v>
      </c>
      <c r="M144" s="27">
        <f>Table2[[#This Row],[Total_Revenue_SAR]]-Table2[[#This Row],[Cost_SAR]]</f>
        <v>2668</v>
      </c>
      <c r="N144" s="36">
        <f>Table2[[#This Row],[Profit_SAR]]/Table2[[#This Row],[Total_Revenue_SAR]]</f>
        <v>0.4</v>
      </c>
      <c r="O144" t="str">
        <f>IF(Table2[[#This Row],[Profit_Margin%]]&gt;=40%,"High","Low")</f>
        <v>High</v>
      </c>
    </row>
    <row r="145" spans="1:15" x14ac:dyDescent="0.3">
      <c r="A145" s="14" t="s">
        <v>275</v>
      </c>
      <c r="B145" s="3">
        <v>45299</v>
      </c>
      <c r="C145" s="2" t="s">
        <v>270</v>
      </c>
      <c r="D145" s="2" t="s">
        <v>79</v>
      </c>
      <c r="E145" s="2" t="s">
        <v>80</v>
      </c>
      <c r="F145" s="2" t="s">
        <v>105</v>
      </c>
      <c r="G145" s="2" t="s">
        <v>94</v>
      </c>
      <c r="H145" s="2" t="s">
        <v>169</v>
      </c>
      <c r="I145" s="2">
        <v>3</v>
      </c>
      <c r="J145" s="4">
        <v>540</v>
      </c>
      <c r="K145" s="4">
        <v>1620</v>
      </c>
      <c r="L145" s="16">
        <v>1004.4</v>
      </c>
      <c r="M145" s="27">
        <f>Table2[[#This Row],[Total_Revenue_SAR]]-Table2[[#This Row],[Cost_SAR]]</f>
        <v>615.6</v>
      </c>
      <c r="N145" s="36">
        <f>Table2[[#This Row],[Profit_SAR]]/Table2[[#This Row],[Total_Revenue_SAR]]</f>
        <v>0.38</v>
      </c>
      <c r="O145" t="str">
        <f>IF(Table2[[#This Row],[Profit_Margin%]]&gt;=40%,"High","Low")</f>
        <v>Low</v>
      </c>
    </row>
    <row r="146" spans="1:15" x14ac:dyDescent="0.3">
      <c r="A146" s="15" t="s">
        <v>276</v>
      </c>
      <c r="B146" s="6">
        <v>45314</v>
      </c>
      <c r="C146" s="5" t="s">
        <v>270</v>
      </c>
      <c r="D146" s="2" t="s">
        <v>79</v>
      </c>
      <c r="E146" s="5" t="s">
        <v>115</v>
      </c>
      <c r="F146" s="5" t="s">
        <v>105</v>
      </c>
      <c r="G146" s="5" t="s">
        <v>109</v>
      </c>
      <c r="H146" s="5" t="s">
        <v>161</v>
      </c>
      <c r="I146" s="5">
        <v>8</v>
      </c>
      <c r="J146" s="7">
        <v>14</v>
      </c>
      <c r="K146" s="7">
        <v>112</v>
      </c>
      <c r="L146" s="17">
        <v>50.4</v>
      </c>
      <c r="M146" s="27">
        <f>Table2[[#This Row],[Total_Revenue_SAR]]-Table2[[#This Row],[Cost_SAR]]</f>
        <v>61.6</v>
      </c>
      <c r="N146" s="36">
        <f>Table2[[#This Row],[Profit_SAR]]/Table2[[#This Row],[Total_Revenue_SAR]]</f>
        <v>0.55000000000000004</v>
      </c>
      <c r="O146" t="str">
        <f>IF(Table2[[#This Row],[Profit_Margin%]]&gt;=40%,"High","Low")</f>
        <v>High</v>
      </c>
    </row>
    <row r="147" spans="1:15" x14ac:dyDescent="0.3">
      <c r="A147" s="14" t="s">
        <v>277</v>
      </c>
      <c r="B147" s="3">
        <v>45294</v>
      </c>
      <c r="C147" s="2" t="s">
        <v>270</v>
      </c>
      <c r="D147" s="2" t="s">
        <v>79</v>
      </c>
      <c r="E147" s="2" t="s">
        <v>115</v>
      </c>
      <c r="F147" s="2" t="s">
        <v>98</v>
      </c>
      <c r="G147" s="2" t="s">
        <v>109</v>
      </c>
      <c r="H147" s="2" t="s">
        <v>161</v>
      </c>
      <c r="I147" s="2">
        <v>1</v>
      </c>
      <c r="J147" s="4">
        <v>14</v>
      </c>
      <c r="K147" s="4">
        <v>14</v>
      </c>
      <c r="L147" s="16">
        <v>6.3</v>
      </c>
      <c r="M147" s="27">
        <f>Table2[[#This Row],[Total_Revenue_SAR]]-Table2[[#This Row],[Cost_SAR]]</f>
        <v>7.7</v>
      </c>
      <c r="N147" s="36">
        <f>Table2[[#This Row],[Profit_SAR]]/Table2[[#This Row],[Total_Revenue_SAR]]</f>
        <v>0.55000000000000004</v>
      </c>
      <c r="O147" t="str">
        <f>IF(Table2[[#This Row],[Profit_Margin%]]&gt;=40%,"High","Low")</f>
        <v>High</v>
      </c>
    </row>
    <row r="148" spans="1:15" x14ac:dyDescent="0.3">
      <c r="A148" s="15" t="s">
        <v>278</v>
      </c>
      <c r="B148" s="6">
        <v>45301</v>
      </c>
      <c r="C148" s="5" t="s">
        <v>270</v>
      </c>
      <c r="D148" s="2" t="s">
        <v>79</v>
      </c>
      <c r="E148" s="5" t="s">
        <v>91</v>
      </c>
      <c r="F148" s="5" t="s">
        <v>98</v>
      </c>
      <c r="G148" s="5" t="s">
        <v>106</v>
      </c>
      <c r="H148" s="5" t="s">
        <v>120</v>
      </c>
      <c r="I148" s="5">
        <v>8</v>
      </c>
      <c r="J148" s="7">
        <v>620</v>
      </c>
      <c r="K148" s="7">
        <v>4960</v>
      </c>
      <c r="L148" s="17">
        <v>2976</v>
      </c>
      <c r="M148" s="27">
        <f>Table2[[#This Row],[Total_Revenue_SAR]]-Table2[[#This Row],[Cost_SAR]]</f>
        <v>1984</v>
      </c>
      <c r="N148" s="36">
        <f>Table2[[#This Row],[Profit_SAR]]/Table2[[#This Row],[Total_Revenue_SAR]]</f>
        <v>0.4</v>
      </c>
      <c r="O148" t="str">
        <f>IF(Table2[[#This Row],[Profit_Margin%]]&gt;=40%,"High","Low")</f>
        <v>High</v>
      </c>
    </row>
    <row r="149" spans="1:15" x14ac:dyDescent="0.3">
      <c r="A149" s="14" t="s">
        <v>279</v>
      </c>
      <c r="B149" s="3">
        <v>45303</v>
      </c>
      <c r="C149" s="2" t="s">
        <v>270</v>
      </c>
      <c r="D149" s="2" t="s">
        <v>79</v>
      </c>
      <c r="E149" s="2" t="s">
        <v>85</v>
      </c>
      <c r="F149" s="2" t="s">
        <v>98</v>
      </c>
      <c r="G149" s="2" t="s">
        <v>94</v>
      </c>
      <c r="H149" s="2" t="s">
        <v>138</v>
      </c>
      <c r="I149" s="2">
        <v>17</v>
      </c>
      <c r="J149" s="4">
        <v>280</v>
      </c>
      <c r="K149" s="4">
        <v>4760</v>
      </c>
      <c r="L149" s="16">
        <v>2951.2</v>
      </c>
      <c r="M149" s="27">
        <f>Table2[[#This Row],[Total_Revenue_SAR]]-Table2[[#This Row],[Cost_SAR]]</f>
        <v>1808.8000000000002</v>
      </c>
      <c r="N149" s="36">
        <f>Table2[[#This Row],[Profit_SAR]]/Table2[[#This Row],[Total_Revenue_SAR]]</f>
        <v>0.38000000000000006</v>
      </c>
      <c r="O149" t="str">
        <f>IF(Table2[[#This Row],[Profit_Margin%]]&gt;=40%,"High","Low")</f>
        <v>Low</v>
      </c>
    </row>
    <row r="150" spans="1:15" x14ac:dyDescent="0.3">
      <c r="A150" s="15" t="s">
        <v>280</v>
      </c>
      <c r="B150" s="6">
        <v>45306</v>
      </c>
      <c r="C150" s="5" t="s">
        <v>270</v>
      </c>
      <c r="D150" s="2" t="s">
        <v>79</v>
      </c>
      <c r="E150" s="5" t="s">
        <v>97</v>
      </c>
      <c r="F150" s="5" t="s">
        <v>112</v>
      </c>
      <c r="G150" s="5" t="s">
        <v>109</v>
      </c>
      <c r="H150" s="5" t="s">
        <v>110</v>
      </c>
      <c r="I150" s="5">
        <v>23</v>
      </c>
      <c r="J150" s="7">
        <v>19</v>
      </c>
      <c r="K150" s="7">
        <v>437</v>
      </c>
      <c r="L150" s="17">
        <v>196.65</v>
      </c>
      <c r="M150" s="27">
        <f>Table2[[#This Row],[Total_Revenue_SAR]]-Table2[[#This Row],[Cost_SAR]]</f>
        <v>240.35</v>
      </c>
      <c r="N150" s="36">
        <f>Table2[[#This Row],[Profit_SAR]]/Table2[[#This Row],[Total_Revenue_SAR]]</f>
        <v>0.54999999999999993</v>
      </c>
      <c r="O150" t="str">
        <f>IF(Table2[[#This Row],[Profit_Margin%]]&gt;=40%,"High","Low")</f>
        <v>High</v>
      </c>
    </row>
    <row r="151" spans="1:15" x14ac:dyDescent="0.3">
      <c r="A151" s="14" t="s">
        <v>281</v>
      </c>
      <c r="B151" s="3">
        <v>45315</v>
      </c>
      <c r="C151" s="2" t="s">
        <v>270</v>
      </c>
      <c r="D151" s="2" t="s">
        <v>79</v>
      </c>
      <c r="E151" s="2" t="s">
        <v>80</v>
      </c>
      <c r="F151" s="2" t="s">
        <v>112</v>
      </c>
      <c r="G151" s="2" t="s">
        <v>106</v>
      </c>
      <c r="H151" s="2" t="s">
        <v>107</v>
      </c>
      <c r="I151" s="2">
        <v>4</v>
      </c>
      <c r="J151" s="4">
        <v>290</v>
      </c>
      <c r="K151" s="4">
        <v>1160</v>
      </c>
      <c r="L151" s="16">
        <v>696</v>
      </c>
      <c r="M151" s="27">
        <f>Table2[[#This Row],[Total_Revenue_SAR]]-Table2[[#This Row],[Cost_SAR]]</f>
        <v>464</v>
      </c>
      <c r="N151" s="36">
        <f>Table2[[#This Row],[Profit_SAR]]/Table2[[#This Row],[Total_Revenue_SAR]]</f>
        <v>0.4</v>
      </c>
      <c r="O151" t="str">
        <f>IF(Table2[[#This Row],[Profit_Margin%]]&gt;=40%,"High","Low")</f>
        <v>High</v>
      </c>
    </row>
    <row r="152" spans="1:15" x14ac:dyDescent="0.3">
      <c r="A152" s="15" t="s">
        <v>282</v>
      </c>
      <c r="B152" s="6">
        <v>45328</v>
      </c>
      <c r="C152" s="5" t="s">
        <v>283</v>
      </c>
      <c r="D152" s="2" t="s">
        <v>79</v>
      </c>
      <c r="E152" s="5" t="s">
        <v>115</v>
      </c>
      <c r="F152" s="5" t="s">
        <v>105</v>
      </c>
      <c r="G152" s="5" t="s">
        <v>106</v>
      </c>
      <c r="H152" s="5" t="s">
        <v>122</v>
      </c>
      <c r="I152" s="5">
        <v>23</v>
      </c>
      <c r="J152" s="7">
        <v>380</v>
      </c>
      <c r="K152" s="7">
        <v>8740</v>
      </c>
      <c r="L152" s="17">
        <v>5244</v>
      </c>
      <c r="M152" s="27">
        <f>Table2[[#This Row],[Total_Revenue_SAR]]-Table2[[#This Row],[Cost_SAR]]</f>
        <v>3496</v>
      </c>
      <c r="N152" s="36">
        <f>Table2[[#This Row],[Profit_SAR]]/Table2[[#This Row],[Total_Revenue_SAR]]</f>
        <v>0.4</v>
      </c>
      <c r="O152" t="str">
        <f>IF(Table2[[#This Row],[Profit_Margin%]]&gt;=40%,"High","Low")</f>
        <v>High</v>
      </c>
    </row>
    <row r="153" spans="1:15" x14ac:dyDescent="0.3">
      <c r="A153" s="14" t="s">
        <v>284</v>
      </c>
      <c r="B153" s="3">
        <v>45341</v>
      </c>
      <c r="C153" s="2" t="s">
        <v>283</v>
      </c>
      <c r="D153" s="2" t="s">
        <v>79</v>
      </c>
      <c r="E153" s="2" t="s">
        <v>97</v>
      </c>
      <c r="F153" s="2" t="s">
        <v>98</v>
      </c>
      <c r="G153" s="2" t="s">
        <v>102</v>
      </c>
      <c r="H153" s="2" t="s">
        <v>124</v>
      </c>
      <c r="I153" s="2">
        <v>24</v>
      </c>
      <c r="J153" s="4">
        <v>25</v>
      </c>
      <c r="K153" s="4">
        <v>600</v>
      </c>
      <c r="L153" s="16">
        <v>300</v>
      </c>
      <c r="M153" s="27">
        <f>Table2[[#This Row],[Total_Revenue_SAR]]-Table2[[#This Row],[Cost_SAR]]</f>
        <v>300</v>
      </c>
      <c r="N153" s="36">
        <f>Table2[[#This Row],[Profit_SAR]]/Table2[[#This Row],[Total_Revenue_SAR]]</f>
        <v>0.5</v>
      </c>
      <c r="O153" t="str">
        <f>IF(Table2[[#This Row],[Profit_Margin%]]&gt;=40%,"High","Low")</f>
        <v>High</v>
      </c>
    </row>
    <row r="154" spans="1:15" x14ac:dyDescent="0.3">
      <c r="A154" s="15" t="s">
        <v>285</v>
      </c>
      <c r="B154" s="6">
        <v>45332</v>
      </c>
      <c r="C154" s="5" t="s">
        <v>283</v>
      </c>
      <c r="D154" s="2" t="s">
        <v>79</v>
      </c>
      <c r="E154" s="5" t="s">
        <v>101</v>
      </c>
      <c r="F154" s="5" t="s">
        <v>112</v>
      </c>
      <c r="G154" s="5" t="s">
        <v>94</v>
      </c>
      <c r="H154" s="5" t="s">
        <v>233</v>
      </c>
      <c r="I154" s="5">
        <v>7</v>
      </c>
      <c r="J154" s="7">
        <v>490</v>
      </c>
      <c r="K154" s="7">
        <v>3430</v>
      </c>
      <c r="L154" s="17">
        <v>2126.6</v>
      </c>
      <c r="M154" s="27">
        <f>Table2[[#This Row],[Total_Revenue_SAR]]-Table2[[#This Row],[Cost_SAR]]</f>
        <v>1303.4000000000001</v>
      </c>
      <c r="N154" s="36">
        <f>Table2[[#This Row],[Profit_SAR]]/Table2[[#This Row],[Total_Revenue_SAR]]</f>
        <v>0.38</v>
      </c>
      <c r="O154" t="str">
        <f>IF(Table2[[#This Row],[Profit_Margin%]]&gt;=40%,"High","Low")</f>
        <v>Low</v>
      </c>
    </row>
    <row r="155" spans="1:15" x14ac:dyDescent="0.3">
      <c r="A155" s="14" t="s">
        <v>286</v>
      </c>
      <c r="B155" s="3">
        <v>45345</v>
      </c>
      <c r="C155" s="2" t="s">
        <v>283</v>
      </c>
      <c r="D155" s="2" t="s">
        <v>79</v>
      </c>
      <c r="E155" s="2" t="s">
        <v>97</v>
      </c>
      <c r="F155" s="2" t="s">
        <v>81</v>
      </c>
      <c r="G155" s="2" t="s">
        <v>102</v>
      </c>
      <c r="H155" s="2" t="s">
        <v>103</v>
      </c>
      <c r="I155" s="2">
        <v>1</v>
      </c>
      <c r="J155" s="4">
        <v>35</v>
      </c>
      <c r="K155" s="4">
        <v>35</v>
      </c>
      <c r="L155" s="16">
        <v>17.5</v>
      </c>
      <c r="M155" s="27">
        <f>Table2[[#This Row],[Total_Revenue_SAR]]-Table2[[#This Row],[Cost_SAR]]</f>
        <v>17.5</v>
      </c>
      <c r="N155" s="36">
        <f>Table2[[#This Row],[Profit_SAR]]/Table2[[#This Row],[Total_Revenue_SAR]]</f>
        <v>0.5</v>
      </c>
      <c r="O155" t="str">
        <f>IF(Table2[[#This Row],[Profit_Margin%]]&gt;=40%,"High","Low")</f>
        <v>High</v>
      </c>
    </row>
    <row r="156" spans="1:15" x14ac:dyDescent="0.3">
      <c r="A156" s="15" t="s">
        <v>287</v>
      </c>
      <c r="B156" s="6">
        <v>45340</v>
      </c>
      <c r="C156" s="5" t="s">
        <v>283</v>
      </c>
      <c r="D156" s="2" t="s">
        <v>79</v>
      </c>
      <c r="E156" s="5" t="s">
        <v>101</v>
      </c>
      <c r="F156" s="5" t="s">
        <v>112</v>
      </c>
      <c r="G156" s="5" t="s">
        <v>94</v>
      </c>
      <c r="H156" s="5" t="s">
        <v>126</v>
      </c>
      <c r="I156" s="5">
        <v>2</v>
      </c>
      <c r="J156" s="7">
        <v>320</v>
      </c>
      <c r="K156" s="7">
        <v>640</v>
      </c>
      <c r="L156" s="17">
        <v>396.8</v>
      </c>
      <c r="M156" s="27">
        <f>Table2[[#This Row],[Total_Revenue_SAR]]-Table2[[#This Row],[Cost_SAR]]</f>
        <v>243.2</v>
      </c>
      <c r="N156" s="36">
        <f>Table2[[#This Row],[Profit_SAR]]/Table2[[#This Row],[Total_Revenue_SAR]]</f>
        <v>0.38</v>
      </c>
      <c r="O156" t="str">
        <f>IF(Table2[[#This Row],[Profit_Margin%]]&gt;=40%,"High","Low")</f>
        <v>Low</v>
      </c>
    </row>
    <row r="157" spans="1:15" x14ac:dyDescent="0.3">
      <c r="A157" s="14" t="s">
        <v>288</v>
      </c>
      <c r="B157" s="3">
        <v>45341</v>
      </c>
      <c r="C157" s="2" t="s">
        <v>283</v>
      </c>
      <c r="D157" s="2" t="s">
        <v>79</v>
      </c>
      <c r="E157" s="2" t="s">
        <v>101</v>
      </c>
      <c r="F157" s="2" t="s">
        <v>98</v>
      </c>
      <c r="G157" s="2" t="s">
        <v>106</v>
      </c>
      <c r="H157" s="2" t="s">
        <v>120</v>
      </c>
      <c r="I157" s="2">
        <v>1</v>
      </c>
      <c r="J157" s="4">
        <v>620</v>
      </c>
      <c r="K157" s="4">
        <v>620</v>
      </c>
      <c r="L157" s="16">
        <v>372</v>
      </c>
      <c r="M157" s="27">
        <f>Table2[[#This Row],[Total_Revenue_SAR]]-Table2[[#This Row],[Cost_SAR]]</f>
        <v>248</v>
      </c>
      <c r="N157" s="36">
        <f>Table2[[#This Row],[Profit_SAR]]/Table2[[#This Row],[Total_Revenue_SAR]]</f>
        <v>0.4</v>
      </c>
      <c r="O157" t="str">
        <f>IF(Table2[[#This Row],[Profit_Margin%]]&gt;=40%,"High","Low")</f>
        <v>High</v>
      </c>
    </row>
    <row r="158" spans="1:15" x14ac:dyDescent="0.3">
      <c r="A158" s="15" t="s">
        <v>289</v>
      </c>
      <c r="B158" s="6">
        <v>45328</v>
      </c>
      <c r="C158" s="5" t="s">
        <v>283</v>
      </c>
      <c r="D158" s="2" t="s">
        <v>79</v>
      </c>
      <c r="E158" s="5" t="s">
        <v>93</v>
      </c>
      <c r="F158" s="5" t="s">
        <v>98</v>
      </c>
      <c r="G158" s="5" t="s">
        <v>106</v>
      </c>
      <c r="H158" s="5" t="s">
        <v>185</v>
      </c>
      <c r="I158" s="5">
        <v>11</v>
      </c>
      <c r="J158" s="7">
        <v>210</v>
      </c>
      <c r="K158" s="7">
        <v>2310</v>
      </c>
      <c r="L158" s="17">
        <v>1386</v>
      </c>
      <c r="M158" s="27">
        <f>Table2[[#This Row],[Total_Revenue_SAR]]-Table2[[#This Row],[Cost_SAR]]</f>
        <v>924</v>
      </c>
      <c r="N158" s="36">
        <f>Table2[[#This Row],[Profit_SAR]]/Table2[[#This Row],[Total_Revenue_SAR]]</f>
        <v>0.4</v>
      </c>
      <c r="O158" t="str">
        <f>IF(Table2[[#This Row],[Profit_Margin%]]&gt;=40%,"High","Low")</f>
        <v>High</v>
      </c>
    </row>
    <row r="159" spans="1:15" x14ac:dyDescent="0.3">
      <c r="A159" s="14" t="s">
        <v>290</v>
      </c>
      <c r="B159" s="3">
        <v>45335</v>
      </c>
      <c r="C159" s="2" t="s">
        <v>283</v>
      </c>
      <c r="D159" s="2" t="s">
        <v>79</v>
      </c>
      <c r="E159" s="2" t="s">
        <v>101</v>
      </c>
      <c r="F159" s="2" t="s">
        <v>98</v>
      </c>
      <c r="G159" s="2" t="s">
        <v>82</v>
      </c>
      <c r="H159" s="2" t="s">
        <v>83</v>
      </c>
      <c r="I159" s="2">
        <v>3</v>
      </c>
      <c r="J159" s="4">
        <v>85</v>
      </c>
      <c r="K159" s="4">
        <v>255</v>
      </c>
      <c r="L159" s="16">
        <v>165.75</v>
      </c>
      <c r="M159" s="27">
        <f>Table2[[#This Row],[Total_Revenue_SAR]]-Table2[[#This Row],[Cost_SAR]]</f>
        <v>89.25</v>
      </c>
      <c r="N159" s="36">
        <f>Table2[[#This Row],[Profit_SAR]]/Table2[[#This Row],[Total_Revenue_SAR]]</f>
        <v>0.35</v>
      </c>
      <c r="O159" t="str">
        <f>IF(Table2[[#This Row],[Profit_Margin%]]&gt;=40%,"High","Low")</f>
        <v>Low</v>
      </c>
    </row>
    <row r="160" spans="1:15" x14ac:dyDescent="0.3">
      <c r="A160" s="15" t="s">
        <v>291</v>
      </c>
      <c r="B160" s="6">
        <v>45324</v>
      </c>
      <c r="C160" s="5" t="s">
        <v>283</v>
      </c>
      <c r="D160" s="2" t="s">
        <v>79</v>
      </c>
      <c r="E160" s="5" t="s">
        <v>91</v>
      </c>
      <c r="F160" s="5" t="s">
        <v>105</v>
      </c>
      <c r="G160" s="5" t="s">
        <v>109</v>
      </c>
      <c r="H160" s="5" t="s">
        <v>146</v>
      </c>
      <c r="I160" s="5">
        <v>22</v>
      </c>
      <c r="J160" s="7">
        <v>22</v>
      </c>
      <c r="K160" s="7">
        <v>484</v>
      </c>
      <c r="L160" s="17">
        <v>217.8</v>
      </c>
      <c r="M160" s="27">
        <f>Table2[[#This Row],[Total_Revenue_SAR]]-Table2[[#This Row],[Cost_SAR]]</f>
        <v>266.2</v>
      </c>
      <c r="N160" s="36">
        <f>Table2[[#This Row],[Profit_SAR]]/Table2[[#This Row],[Total_Revenue_SAR]]</f>
        <v>0.54999999999999993</v>
      </c>
      <c r="O160" t="str">
        <f>IF(Table2[[#This Row],[Profit_Margin%]]&gt;=40%,"High","Low")</f>
        <v>High</v>
      </c>
    </row>
    <row r="161" spans="1:15" x14ac:dyDescent="0.3">
      <c r="A161" s="14" t="s">
        <v>292</v>
      </c>
      <c r="B161" s="3">
        <v>45330</v>
      </c>
      <c r="C161" s="2" t="s">
        <v>283</v>
      </c>
      <c r="D161" s="2" t="s">
        <v>79</v>
      </c>
      <c r="E161" s="2" t="s">
        <v>97</v>
      </c>
      <c r="F161" s="2" t="s">
        <v>105</v>
      </c>
      <c r="G161" s="2" t="s">
        <v>102</v>
      </c>
      <c r="H161" s="2" t="s">
        <v>124</v>
      </c>
      <c r="I161" s="2">
        <v>3</v>
      </c>
      <c r="J161" s="4">
        <v>25</v>
      </c>
      <c r="K161" s="4">
        <v>75</v>
      </c>
      <c r="L161" s="16">
        <v>37.5</v>
      </c>
      <c r="M161" s="27">
        <f>Table2[[#This Row],[Total_Revenue_SAR]]-Table2[[#This Row],[Cost_SAR]]</f>
        <v>37.5</v>
      </c>
      <c r="N161" s="36">
        <f>Table2[[#This Row],[Profit_SAR]]/Table2[[#This Row],[Total_Revenue_SAR]]</f>
        <v>0.5</v>
      </c>
      <c r="O161" t="str">
        <f>IF(Table2[[#This Row],[Profit_Margin%]]&gt;=40%,"High","Low")</f>
        <v>High</v>
      </c>
    </row>
    <row r="162" spans="1:15" x14ac:dyDescent="0.3">
      <c r="A162" s="15" t="s">
        <v>293</v>
      </c>
      <c r="B162" s="6">
        <v>45348</v>
      </c>
      <c r="C162" s="5" t="s">
        <v>283</v>
      </c>
      <c r="D162" s="2" t="s">
        <v>79</v>
      </c>
      <c r="E162" s="5" t="s">
        <v>85</v>
      </c>
      <c r="F162" s="5" t="s">
        <v>98</v>
      </c>
      <c r="G162" s="5" t="s">
        <v>82</v>
      </c>
      <c r="H162" s="5" t="s">
        <v>87</v>
      </c>
      <c r="I162" s="5">
        <v>20</v>
      </c>
      <c r="J162" s="7">
        <v>120</v>
      </c>
      <c r="K162" s="7">
        <v>2400</v>
      </c>
      <c r="L162" s="17">
        <v>1560</v>
      </c>
      <c r="M162" s="27">
        <f>Table2[[#This Row],[Total_Revenue_SAR]]-Table2[[#This Row],[Cost_SAR]]</f>
        <v>840</v>
      </c>
      <c r="N162" s="36">
        <f>Table2[[#This Row],[Profit_SAR]]/Table2[[#This Row],[Total_Revenue_SAR]]</f>
        <v>0.35</v>
      </c>
      <c r="O162" t="str">
        <f>IF(Table2[[#This Row],[Profit_Margin%]]&gt;=40%,"High","Low")</f>
        <v>Low</v>
      </c>
    </row>
    <row r="163" spans="1:15" x14ac:dyDescent="0.3">
      <c r="A163" s="14" t="s">
        <v>294</v>
      </c>
      <c r="B163" s="3">
        <v>45337</v>
      </c>
      <c r="C163" s="2" t="s">
        <v>283</v>
      </c>
      <c r="D163" s="2" t="s">
        <v>79</v>
      </c>
      <c r="E163" s="2" t="s">
        <v>93</v>
      </c>
      <c r="F163" s="2" t="s">
        <v>105</v>
      </c>
      <c r="G163" s="2" t="s">
        <v>94</v>
      </c>
      <c r="H163" s="2" t="s">
        <v>126</v>
      </c>
      <c r="I163" s="2">
        <v>15</v>
      </c>
      <c r="J163" s="4">
        <v>320</v>
      </c>
      <c r="K163" s="4">
        <v>4800</v>
      </c>
      <c r="L163" s="16">
        <v>2976</v>
      </c>
      <c r="M163" s="27">
        <f>Table2[[#This Row],[Total_Revenue_SAR]]-Table2[[#This Row],[Cost_SAR]]</f>
        <v>1824</v>
      </c>
      <c r="N163" s="36">
        <f>Table2[[#This Row],[Profit_SAR]]/Table2[[#This Row],[Total_Revenue_SAR]]</f>
        <v>0.38</v>
      </c>
      <c r="O163" t="str">
        <f>IF(Table2[[#This Row],[Profit_Margin%]]&gt;=40%,"High","Low")</f>
        <v>Low</v>
      </c>
    </row>
    <row r="164" spans="1:15" x14ac:dyDescent="0.3">
      <c r="A164" s="15" t="s">
        <v>295</v>
      </c>
      <c r="B164" s="6">
        <v>45342</v>
      </c>
      <c r="C164" s="5" t="s">
        <v>283</v>
      </c>
      <c r="D164" s="2" t="s">
        <v>79</v>
      </c>
      <c r="E164" s="5" t="s">
        <v>97</v>
      </c>
      <c r="F164" s="5" t="s">
        <v>98</v>
      </c>
      <c r="G164" s="5" t="s">
        <v>106</v>
      </c>
      <c r="H164" s="5" t="s">
        <v>113</v>
      </c>
      <c r="I164" s="5">
        <v>19</v>
      </c>
      <c r="J164" s="7">
        <v>175</v>
      </c>
      <c r="K164" s="7">
        <v>3325</v>
      </c>
      <c r="L164" s="17">
        <v>1995</v>
      </c>
      <c r="M164" s="27">
        <f>Table2[[#This Row],[Total_Revenue_SAR]]-Table2[[#This Row],[Cost_SAR]]</f>
        <v>1330</v>
      </c>
      <c r="N164" s="36">
        <f>Table2[[#This Row],[Profit_SAR]]/Table2[[#This Row],[Total_Revenue_SAR]]</f>
        <v>0.4</v>
      </c>
      <c r="O164" t="str">
        <f>IF(Table2[[#This Row],[Profit_Margin%]]&gt;=40%,"High","Low")</f>
        <v>High</v>
      </c>
    </row>
    <row r="165" spans="1:15" x14ac:dyDescent="0.3">
      <c r="A165" s="14" t="s">
        <v>296</v>
      </c>
      <c r="B165" s="3">
        <v>45360</v>
      </c>
      <c r="C165" s="2" t="s">
        <v>297</v>
      </c>
      <c r="D165" s="2" t="s">
        <v>79</v>
      </c>
      <c r="E165" s="2" t="s">
        <v>91</v>
      </c>
      <c r="F165" s="2" t="s">
        <v>81</v>
      </c>
      <c r="G165" s="2" t="s">
        <v>94</v>
      </c>
      <c r="H165" s="2" t="s">
        <v>169</v>
      </c>
      <c r="I165" s="2">
        <v>7</v>
      </c>
      <c r="J165" s="4">
        <v>540</v>
      </c>
      <c r="K165" s="4">
        <v>3780</v>
      </c>
      <c r="L165" s="16">
        <v>2343.6</v>
      </c>
      <c r="M165" s="27">
        <f>Table2[[#This Row],[Total_Revenue_SAR]]-Table2[[#This Row],[Cost_SAR]]</f>
        <v>1436.4</v>
      </c>
      <c r="N165" s="36">
        <f>Table2[[#This Row],[Profit_SAR]]/Table2[[#This Row],[Total_Revenue_SAR]]</f>
        <v>0.38</v>
      </c>
      <c r="O165" t="str">
        <f>IF(Table2[[#This Row],[Profit_Margin%]]&gt;=40%,"High","Low")</f>
        <v>Low</v>
      </c>
    </row>
    <row r="166" spans="1:15" x14ac:dyDescent="0.3">
      <c r="A166" s="15" t="s">
        <v>298</v>
      </c>
      <c r="B166" s="6">
        <v>45354</v>
      </c>
      <c r="C166" s="5" t="s">
        <v>297</v>
      </c>
      <c r="D166" s="2" t="s">
        <v>79</v>
      </c>
      <c r="E166" s="5" t="s">
        <v>80</v>
      </c>
      <c r="F166" s="5" t="s">
        <v>81</v>
      </c>
      <c r="G166" s="5" t="s">
        <v>82</v>
      </c>
      <c r="H166" s="5" t="s">
        <v>99</v>
      </c>
      <c r="I166" s="5">
        <v>18</v>
      </c>
      <c r="J166" s="7">
        <v>320</v>
      </c>
      <c r="K166" s="7">
        <v>5760</v>
      </c>
      <c r="L166" s="17">
        <v>3744</v>
      </c>
      <c r="M166" s="27">
        <f>Table2[[#This Row],[Total_Revenue_SAR]]-Table2[[#This Row],[Cost_SAR]]</f>
        <v>2016</v>
      </c>
      <c r="N166" s="36">
        <f>Table2[[#This Row],[Profit_SAR]]/Table2[[#This Row],[Total_Revenue_SAR]]</f>
        <v>0.35</v>
      </c>
      <c r="O166" t="str">
        <f>IF(Table2[[#This Row],[Profit_Margin%]]&gt;=40%,"High","Low")</f>
        <v>Low</v>
      </c>
    </row>
    <row r="167" spans="1:15" x14ac:dyDescent="0.3">
      <c r="A167" s="14" t="s">
        <v>299</v>
      </c>
      <c r="B167" s="3">
        <v>45371</v>
      </c>
      <c r="C167" s="2" t="s">
        <v>297</v>
      </c>
      <c r="D167" s="2" t="s">
        <v>79</v>
      </c>
      <c r="E167" s="2" t="s">
        <v>93</v>
      </c>
      <c r="F167" s="2" t="s">
        <v>98</v>
      </c>
      <c r="G167" s="2" t="s">
        <v>102</v>
      </c>
      <c r="H167" s="2" t="s">
        <v>178</v>
      </c>
      <c r="I167" s="2">
        <v>23</v>
      </c>
      <c r="J167" s="4">
        <v>18</v>
      </c>
      <c r="K167" s="4">
        <v>414</v>
      </c>
      <c r="L167" s="16">
        <v>207</v>
      </c>
      <c r="M167" s="27">
        <f>Table2[[#This Row],[Total_Revenue_SAR]]-Table2[[#This Row],[Cost_SAR]]</f>
        <v>207</v>
      </c>
      <c r="N167" s="36">
        <f>Table2[[#This Row],[Profit_SAR]]/Table2[[#This Row],[Total_Revenue_SAR]]</f>
        <v>0.5</v>
      </c>
      <c r="O167" t="str">
        <f>IF(Table2[[#This Row],[Profit_Margin%]]&gt;=40%,"High","Low")</f>
        <v>High</v>
      </c>
    </row>
    <row r="168" spans="1:15" x14ac:dyDescent="0.3">
      <c r="A168" s="15" t="s">
        <v>300</v>
      </c>
      <c r="B168" s="6">
        <v>45374</v>
      </c>
      <c r="C168" s="5" t="s">
        <v>297</v>
      </c>
      <c r="D168" s="2" t="s">
        <v>79</v>
      </c>
      <c r="E168" s="5" t="s">
        <v>80</v>
      </c>
      <c r="F168" s="5" t="s">
        <v>86</v>
      </c>
      <c r="G168" s="5" t="s">
        <v>109</v>
      </c>
      <c r="H168" s="5" t="s">
        <v>163</v>
      </c>
      <c r="I168" s="5">
        <v>10</v>
      </c>
      <c r="J168" s="7">
        <v>28</v>
      </c>
      <c r="K168" s="7">
        <v>280</v>
      </c>
      <c r="L168" s="17">
        <v>126</v>
      </c>
      <c r="M168" s="27">
        <f>Table2[[#This Row],[Total_Revenue_SAR]]-Table2[[#This Row],[Cost_SAR]]</f>
        <v>154</v>
      </c>
      <c r="N168" s="36">
        <f>Table2[[#This Row],[Profit_SAR]]/Table2[[#This Row],[Total_Revenue_SAR]]</f>
        <v>0.55000000000000004</v>
      </c>
      <c r="O168" t="str">
        <f>IF(Table2[[#This Row],[Profit_Margin%]]&gt;=40%,"High","Low")</f>
        <v>High</v>
      </c>
    </row>
    <row r="169" spans="1:15" x14ac:dyDescent="0.3">
      <c r="A169" s="14" t="s">
        <v>301</v>
      </c>
      <c r="B169" s="3">
        <v>45360</v>
      </c>
      <c r="C169" s="2" t="s">
        <v>297</v>
      </c>
      <c r="D169" s="2" t="s">
        <v>79</v>
      </c>
      <c r="E169" s="2" t="s">
        <v>91</v>
      </c>
      <c r="F169" s="2" t="s">
        <v>86</v>
      </c>
      <c r="G169" s="2" t="s">
        <v>106</v>
      </c>
      <c r="H169" s="2" t="s">
        <v>185</v>
      </c>
      <c r="I169" s="2">
        <v>8</v>
      </c>
      <c r="J169" s="4">
        <v>210</v>
      </c>
      <c r="K169" s="4">
        <v>1680</v>
      </c>
      <c r="L169" s="16">
        <v>1008</v>
      </c>
      <c r="M169" s="27">
        <f>Table2[[#This Row],[Total_Revenue_SAR]]-Table2[[#This Row],[Cost_SAR]]</f>
        <v>672</v>
      </c>
      <c r="N169" s="36">
        <f>Table2[[#This Row],[Profit_SAR]]/Table2[[#This Row],[Total_Revenue_SAR]]</f>
        <v>0.4</v>
      </c>
      <c r="O169" t="str">
        <f>IF(Table2[[#This Row],[Profit_Margin%]]&gt;=40%,"High","Low")</f>
        <v>High</v>
      </c>
    </row>
    <row r="170" spans="1:15" x14ac:dyDescent="0.3">
      <c r="A170" s="15" t="s">
        <v>302</v>
      </c>
      <c r="B170" s="6">
        <v>45359</v>
      </c>
      <c r="C170" s="5" t="s">
        <v>297</v>
      </c>
      <c r="D170" s="2" t="s">
        <v>79</v>
      </c>
      <c r="E170" s="5" t="s">
        <v>101</v>
      </c>
      <c r="F170" s="5" t="s">
        <v>98</v>
      </c>
      <c r="G170" s="5" t="s">
        <v>94</v>
      </c>
      <c r="H170" s="5" t="s">
        <v>126</v>
      </c>
      <c r="I170" s="5">
        <v>18</v>
      </c>
      <c r="J170" s="7">
        <v>320</v>
      </c>
      <c r="K170" s="7">
        <v>5760</v>
      </c>
      <c r="L170" s="17">
        <v>3571.2</v>
      </c>
      <c r="M170" s="27">
        <f>Table2[[#This Row],[Total_Revenue_SAR]]-Table2[[#This Row],[Cost_SAR]]</f>
        <v>2188.8000000000002</v>
      </c>
      <c r="N170" s="36">
        <f>Table2[[#This Row],[Profit_SAR]]/Table2[[#This Row],[Total_Revenue_SAR]]</f>
        <v>0.38</v>
      </c>
      <c r="O170" t="str">
        <f>IF(Table2[[#This Row],[Profit_Margin%]]&gt;=40%,"High","Low")</f>
        <v>Low</v>
      </c>
    </row>
    <row r="171" spans="1:15" x14ac:dyDescent="0.3">
      <c r="A171" s="14" t="s">
        <v>303</v>
      </c>
      <c r="B171" s="3">
        <v>45357</v>
      </c>
      <c r="C171" s="2" t="s">
        <v>297</v>
      </c>
      <c r="D171" s="2" t="s">
        <v>79</v>
      </c>
      <c r="E171" s="2" t="s">
        <v>101</v>
      </c>
      <c r="F171" s="2" t="s">
        <v>81</v>
      </c>
      <c r="G171" s="2" t="s">
        <v>102</v>
      </c>
      <c r="H171" s="2" t="s">
        <v>103</v>
      </c>
      <c r="I171" s="2">
        <v>2</v>
      </c>
      <c r="J171" s="4">
        <v>35</v>
      </c>
      <c r="K171" s="4">
        <v>70</v>
      </c>
      <c r="L171" s="16">
        <v>35</v>
      </c>
      <c r="M171" s="27">
        <f>Table2[[#This Row],[Total_Revenue_SAR]]-Table2[[#This Row],[Cost_SAR]]</f>
        <v>35</v>
      </c>
      <c r="N171" s="36">
        <f>Table2[[#This Row],[Profit_SAR]]/Table2[[#This Row],[Total_Revenue_SAR]]</f>
        <v>0.5</v>
      </c>
      <c r="O171" t="str">
        <f>IF(Table2[[#This Row],[Profit_Margin%]]&gt;=40%,"High","Low")</f>
        <v>High</v>
      </c>
    </row>
    <row r="172" spans="1:15" x14ac:dyDescent="0.3">
      <c r="A172" s="15" t="s">
        <v>304</v>
      </c>
      <c r="B172" s="6">
        <v>45355</v>
      </c>
      <c r="C172" s="5" t="s">
        <v>297</v>
      </c>
      <c r="D172" s="2" t="s">
        <v>79</v>
      </c>
      <c r="E172" s="5" t="s">
        <v>97</v>
      </c>
      <c r="F172" s="5" t="s">
        <v>105</v>
      </c>
      <c r="G172" s="5" t="s">
        <v>106</v>
      </c>
      <c r="H172" s="5" t="s">
        <v>113</v>
      </c>
      <c r="I172" s="5">
        <v>15</v>
      </c>
      <c r="J172" s="7">
        <v>175</v>
      </c>
      <c r="K172" s="7">
        <v>2625</v>
      </c>
      <c r="L172" s="17">
        <v>1575</v>
      </c>
      <c r="M172" s="27">
        <f>Table2[[#This Row],[Total_Revenue_SAR]]-Table2[[#This Row],[Cost_SAR]]</f>
        <v>1050</v>
      </c>
      <c r="N172" s="36">
        <f>Table2[[#This Row],[Profit_SAR]]/Table2[[#This Row],[Total_Revenue_SAR]]</f>
        <v>0.4</v>
      </c>
      <c r="O172" t="str">
        <f>IF(Table2[[#This Row],[Profit_Margin%]]&gt;=40%,"High","Low")</f>
        <v>High</v>
      </c>
    </row>
    <row r="173" spans="1:15" x14ac:dyDescent="0.3">
      <c r="A173" s="14" t="s">
        <v>305</v>
      </c>
      <c r="B173" s="3">
        <v>45369</v>
      </c>
      <c r="C173" s="2" t="s">
        <v>297</v>
      </c>
      <c r="D173" s="2" t="s">
        <v>79</v>
      </c>
      <c r="E173" s="2" t="s">
        <v>97</v>
      </c>
      <c r="F173" s="2" t="s">
        <v>98</v>
      </c>
      <c r="G173" s="2" t="s">
        <v>109</v>
      </c>
      <c r="H173" s="2" t="s">
        <v>163</v>
      </c>
      <c r="I173" s="2">
        <v>17</v>
      </c>
      <c r="J173" s="4">
        <v>28</v>
      </c>
      <c r="K173" s="4">
        <v>476</v>
      </c>
      <c r="L173" s="16">
        <v>214.2</v>
      </c>
      <c r="M173" s="27">
        <f>Table2[[#This Row],[Total_Revenue_SAR]]-Table2[[#This Row],[Cost_SAR]]</f>
        <v>261.8</v>
      </c>
      <c r="N173" s="36">
        <f>Table2[[#This Row],[Profit_SAR]]/Table2[[#This Row],[Total_Revenue_SAR]]</f>
        <v>0.55000000000000004</v>
      </c>
      <c r="O173" t="str">
        <f>IF(Table2[[#This Row],[Profit_Margin%]]&gt;=40%,"High","Low")</f>
        <v>High</v>
      </c>
    </row>
    <row r="174" spans="1:15" x14ac:dyDescent="0.3">
      <c r="A174" s="21" t="s">
        <v>306</v>
      </c>
      <c r="B174" s="22">
        <v>45365</v>
      </c>
      <c r="C174" s="23" t="s">
        <v>297</v>
      </c>
      <c r="D174" s="2" t="s">
        <v>79</v>
      </c>
      <c r="E174" s="23" t="s">
        <v>85</v>
      </c>
      <c r="F174" s="23" t="s">
        <v>86</v>
      </c>
      <c r="G174" s="23" t="s">
        <v>109</v>
      </c>
      <c r="H174" s="23" t="s">
        <v>161</v>
      </c>
      <c r="I174" s="23">
        <v>2</v>
      </c>
      <c r="J174" s="24">
        <v>14</v>
      </c>
      <c r="K174" s="24">
        <v>28</v>
      </c>
      <c r="L174" s="25">
        <v>12.6</v>
      </c>
      <c r="M174" s="27">
        <f>Table2[[#This Row],[Total_Revenue_SAR]]-Table2[[#This Row],[Cost_SAR]]</f>
        <v>15.4</v>
      </c>
      <c r="N174" s="36">
        <f>Table2[[#This Row],[Profit_SAR]]/Table2[[#This Row],[Total_Revenue_SAR]]</f>
        <v>0.55000000000000004</v>
      </c>
      <c r="O174" t="str">
        <f>IF(Table2[[#This Row],[Profit_Margin%]]&gt;=40%,"High","Low")</f>
        <v>High</v>
      </c>
    </row>
  </sheetData>
  <mergeCells count="1">
    <mergeCell ref="A1:L1"/>
  </mergeCells>
  <phoneticPr fontId="11" type="noConversion"/>
  <conditionalFormatting sqref="O3:O174">
    <cfRule type="cellIs" dxfId="1" priority="1" operator="equal">
      <formula>$O$9</formula>
    </cfRule>
    <cfRule type="cellIs" dxfId="0" priority="2" operator="equal">
      <formula>$O$3</formula>
    </cfRule>
  </conditionalFormatting>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E7145"/>
  </sheetPr>
  <dimension ref="A1:F15"/>
  <sheetViews>
    <sheetView tabSelected="1" workbookViewId="0">
      <selection activeCell="F3" sqref="F3"/>
    </sheetView>
  </sheetViews>
  <sheetFormatPr defaultRowHeight="14.4" x14ac:dyDescent="0.3"/>
  <cols>
    <col min="1" max="1" width="12" customWidth="1"/>
    <col min="2" max="2" width="10" customWidth="1"/>
    <col min="3" max="4" width="16" customWidth="1"/>
    <col min="5" max="5" width="15.21875" customWidth="1"/>
    <col min="6" max="6" width="21.6640625" customWidth="1"/>
  </cols>
  <sheetData>
    <row r="1" spans="1:6" ht="30" customHeight="1" x14ac:dyDescent="0.3">
      <c r="A1" s="48" t="s">
        <v>307</v>
      </c>
      <c r="B1" s="38"/>
      <c r="C1" s="38"/>
      <c r="D1" s="38"/>
      <c r="E1" s="38"/>
    </row>
    <row r="2" spans="1:6" x14ac:dyDescent="0.3">
      <c r="A2" s="1" t="s">
        <v>67</v>
      </c>
      <c r="B2" s="1" t="s">
        <v>68</v>
      </c>
      <c r="C2" s="1" t="s">
        <v>308</v>
      </c>
      <c r="D2" s="1" t="s">
        <v>309</v>
      </c>
      <c r="E2" s="1" t="s">
        <v>310</v>
      </c>
      <c r="F2" s="32" t="s">
        <v>329</v>
      </c>
    </row>
    <row r="3" spans="1:6" x14ac:dyDescent="0.3">
      <c r="A3" s="2" t="s">
        <v>78</v>
      </c>
      <c r="B3" s="2" t="s">
        <v>159</v>
      </c>
      <c r="C3" s="8">
        <v>42000</v>
      </c>
      <c r="D3" s="8">
        <v>38500</v>
      </c>
      <c r="E3" s="8">
        <f t="shared" ref="E3:E14" si="0">D3-C3</f>
        <v>-3500</v>
      </c>
    </row>
    <row r="4" spans="1:6" x14ac:dyDescent="0.3">
      <c r="A4" s="5" t="s">
        <v>117</v>
      </c>
      <c r="B4" s="2" t="s">
        <v>159</v>
      </c>
      <c r="C4" s="9">
        <v>45000</v>
      </c>
      <c r="D4" s="9">
        <v>46200</v>
      </c>
      <c r="E4" s="9">
        <f t="shared" si="0"/>
        <v>1200</v>
      </c>
      <c r="F4" s="28">
        <f>(D4-D3)/D3</f>
        <v>0.2</v>
      </c>
    </row>
    <row r="5" spans="1:6" x14ac:dyDescent="0.3">
      <c r="A5" s="2" t="s">
        <v>137</v>
      </c>
      <c r="B5" s="2" t="s">
        <v>159</v>
      </c>
      <c r="C5" s="8">
        <v>48000</v>
      </c>
      <c r="D5" s="8">
        <v>51000</v>
      </c>
      <c r="E5" s="8">
        <f t="shared" si="0"/>
        <v>3000</v>
      </c>
      <c r="F5" s="28">
        <f t="shared" ref="F5:F14" si="1">(D5-D4)/D4</f>
        <v>0.1038961038961039</v>
      </c>
    </row>
    <row r="6" spans="1:6" x14ac:dyDescent="0.3">
      <c r="A6" s="5" t="s">
        <v>158</v>
      </c>
      <c r="B6" s="5" t="s">
        <v>216</v>
      </c>
      <c r="C6" s="9">
        <v>50000</v>
      </c>
      <c r="D6" s="9">
        <v>48800</v>
      </c>
      <c r="E6" s="9">
        <f t="shared" si="0"/>
        <v>-1200</v>
      </c>
      <c r="F6" s="28">
        <f t="shared" si="1"/>
        <v>-4.3137254901960784E-2</v>
      </c>
    </row>
    <row r="7" spans="1:6" x14ac:dyDescent="0.3">
      <c r="A7" s="2" t="s">
        <v>182</v>
      </c>
      <c r="B7" s="5" t="s">
        <v>216</v>
      </c>
      <c r="C7" s="8">
        <v>52000</v>
      </c>
      <c r="D7" s="8">
        <v>53400</v>
      </c>
      <c r="E7" s="8">
        <f t="shared" si="0"/>
        <v>1400</v>
      </c>
      <c r="F7" s="28">
        <f t="shared" si="1"/>
        <v>9.4262295081967207E-2</v>
      </c>
    </row>
    <row r="8" spans="1:6" x14ac:dyDescent="0.3">
      <c r="A8" s="5" t="s">
        <v>202</v>
      </c>
      <c r="B8" s="5" t="s">
        <v>216</v>
      </c>
      <c r="C8" s="9">
        <v>55000</v>
      </c>
      <c r="D8" s="9">
        <v>58900</v>
      </c>
      <c r="E8" s="9">
        <f t="shared" si="0"/>
        <v>3900</v>
      </c>
      <c r="F8" s="28">
        <f t="shared" si="1"/>
        <v>0.10299625468164794</v>
      </c>
    </row>
    <row r="9" spans="1:6" x14ac:dyDescent="0.3">
      <c r="A9" s="2" t="s">
        <v>215</v>
      </c>
      <c r="B9" s="2" t="s">
        <v>271</v>
      </c>
      <c r="C9" s="8">
        <v>57000</v>
      </c>
      <c r="D9" s="8">
        <v>55000</v>
      </c>
      <c r="E9" s="8">
        <f t="shared" si="0"/>
        <v>-2000</v>
      </c>
      <c r="F9" s="28">
        <f t="shared" si="1"/>
        <v>-6.6213921901528014E-2</v>
      </c>
    </row>
    <row r="10" spans="1:6" x14ac:dyDescent="0.3">
      <c r="A10" s="5" t="s">
        <v>232</v>
      </c>
      <c r="B10" s="2" t="s">
        <v>271</v>
      </c>
      <c r="C10" s="9">
        <v>60000</v>
      </c>
      <c r="D10" s="9">
        <v>63200</v>
      </c>
      <c r="E10" s="9">
        <f t="shared" si="0"/>
        <v>3200</v>
      </c>
      <c r="F10" s="28">
        <f t="shared" si="1"/>
        <v>0.14909090909090908</v>
      </c>
    </row>
    <row r="11" spans="1:6" x14ac:dyDescent="0.3">
      <c r="A11" s="2" t="s">
        <v>253</v>
      </c>
      <c r="B11" s="2" t="s">
        <v>271</v>
      </c>
      <c r="C11" s="8">
        <v>65000</v>
      </c>
      <c r="D11" s="8">
        <v>70100</v>
      </c>
      <c r="E11" s="8">
        <f t="shared" si="0"/>
        <v>5100</v>
      </c>
      <c r="F11" s="28">
        <f t="shared" si="1"/>
        <v>0.10917721518987342</v>
      </c>
    </row>
    <row r="12" spans="1:6" x14ac:dyDescent="0.3">
      <c r="A12" s="5" t="s">
        <v>270</v>
      </c>
      <c r="B12" s="5" t="s">
        <v>79</v>
      </c>
      <c r="C12" s="9">
        <v>58000</v>
      </c>
      <c r="D12" s="9">
        <v>54300</v>
      </c>
      <c r="E12" s="9">
        <f t="shared" si="0"/>
        <v>-3700</v>
      </c>
      <c r="F12" s="28">
        <f t="shared" si="1"/>
        <v>-0.2253922967189729</v>
      </c>
    </row>
    <row r="13" spans="1:6" x14ac:dyDescent="0.3">
      <c r="A13" s="2" t="s">
        <v>283</v>
      </c>
      <c r="B13" s="5" t="s">
        <v>79</v>
      </c>
      <c r="C13" s="8">
        <v>56000</v>
      </c>
      <c r="D13" s="8">
        <v>57800</v>
      </c>
      <c r="E13" s="8">
        <f t="shared" si="0"/>
        <v>1800</v>
      </c>
      <c r="F13" s="28">
        <f t="shared" si="1"/>
        <v>6.4456721915285453E-2</v>
      </c>
    </row>
    <row r="14" spans="1:6" x14ac:dyDescent="0.3">
      <c r="A14" s="5" t="s">
        <v>297</v>
      </c>
      <c r="B14" s="5" t="s">
        <v>79</v>
      </c>
      <c r="C14" s="9">
        <v>54000</v>
      </c>
      <c r="D14" s="9">
        <v>52600</v>
      </c>
      <c r="E14" s="9">
        <f t="shared" si="0"/>
        <v>-1400</v>
      </c>
      <c r="F14" s="28">
        <f t="shared" si="1"/>
        <v>-8.9965397923875437E-2</v>
      </c>
    </row>
    <row r="15" spans="1:6" x14ac:dyDescent="0.3">
      <c r="A15" s="10" t="s">
        <v>311</v>
      </c>
      <c r="C15" s="11">
        <f>SUM(C3:C14)</f>
        <v>642000</v>
      </c>
      <c r="D15" s="11">
        <f>SUM(D3:D14)</f>
        <v>649800</v>
      </c>
      <c r="E15" s="11">
        <f>SUM(E3:E14)</f>
        <v>7800</v>
      </c>
    </row>
  </sheetData>
  <mergeCells count="1">
    <mergeCell ref="A1:E1"/>
  </mergeCells>
  <phoneticPr fontId="11" type="noConversion"/>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A1:I14"/>
  <sheetViews>
    <sheetView workbookViewId="0">
      <pane ySplit="2" topLeftCell="A3" activePane="bottomLeft" state="frozen"/>
      <selection pane="bottomLeft" activeCell="C17" sqref="C17"/>
    </sheetView>
  </sheetViews>
  <sheetFormatPr defaultRowHeight="14.4" x14ac:dyDescent="0.3"/>
  <cols>
    <col min="1" max="1" width="12" customWidth="1"/>
    <col min="2" max="2" width="10" customWidth="1"/>
    <col min="3" max="3" width="14" customWidth="1"/>
    <col min="4" max="4" width="12" customWidth="1"/>
    <col min="5" max="6" width="14" customWidth="1"/>
    <col min="7" max="7" width="12" customWidth="1"/>
    <col min="8" max="9" width="16" customWidth="1"/>
  </cols>
  <sheetData>
    <row r="1" spans="1:9" ht="30" customHeight="1" x14ac:dyDescent="0.3">
      <c r="A1" s="48" t="s">
        <v>312</v>
      </c>
      <c r="B1" s="38"/>
      <c r="C1" s="38"/>
      <c r="D1" s="38"/>
      <c r="E1" s="38"/>
      <c r="F1" s="38"/>
    </row>
    <row r="2" spans="1:9" x14ac:dyDescent="0.3">
      <c r="A2" s="12" t="s">
        <v>67</v>
      </c>
      <c r="B2" s="12" t="s">
        <v>68</v>
      </c>
      <c r="C2" s="12" t="s">
        <v>313</v>
      </c>
      <c r="D2" s="12" t="s">
        <v>314</v>
      </c>
      <c r="E2" s="12" t="s">
        <v>315</v>
      </c>
      <c r="F2" s="12" t="s">
        <v>316</v>
      </c>
      <c r="G2" s="12" t="s">
        <v>317</v>
      </c>
      <c r="H2" s="12" t="s">
        <v>318</v>
      </c>
      <c r="I2" s="12" t="s">
        <v>319</v>
      </c>
    </row>
    <row r="3" spans="1:9" x14ac:dyDescent="0.3">
      <c r="A3" s="2" t="s">
        <v>78</v>
      </c>
      <c r="B3" s="2" t="s">
        <v>159</v>
      </c>
      <c r="C3" s="8">
        <v>18000</v>
      </c>
      <c r="D3" s="8">
        <v>8500</v>
      </c>
      <c r="E3" s="8">
        <v>3200</v>
      </c>
      <c r="F3" s="8">
        <v>2800</v>
      </c>
      <c r="G3" s="8">
        <v>1100</v>
      </c>
      <c r="H3" s="8">
        <v>950</v>
      </c>
      <c r="I3" s="13">
        <f t="shared" ref="I3:I14" si="0">SUM(C3:H3)</f>
        <v>34550</v>
      </c>
    </row>
    <row r="4" spans="1:9" x14ac:dyDescent="0.3">
      <c r="A4" s="5" t="s">
        <v>117</v>
      </c>
      <c r="B4" s="2" t="s">
        <v>159</v>
      </c>
      <c r="C4" s="9">
        <v>18000</v>
      </c>
      <c r="D4" s="9">
        <v>8500</v>
      </c>
      <c r="E4" s="9">
        <v>3400</v>
      </c>
      <c r="F4" s="9">
        <v>2900</v>
      </c>
      <c r="G4" s="9">
        <v>1050</v>
      </c>
      <c r="H4" s="9">
        <v>880</v>
      </c>
      <c r="I4" s="13">
        <f t="shared" si="0"/>
        <v>34730</v>
      </c>
    </row>
    <row r="5" spans="1:9" x14ac:dyDescent="0.3">
      <c r="A5" s="2" t="s">
        <v>137</v>
      </c>
      <c r="B5" s="2" t="s">
        <v>159</v>
      </c>
      <c r="C5" s="8">
        <v>18500</v>
      </c>
      <c r="D5" s="8">
        <v>8500</v>
      </c>
      <c r="E5" s="8">
        <v>3600</v>
      </c>
      <c r="F5" s="8">
        <v>3100</v>
      </c>
      <c r="G5" s="8">
        <v>1200</v>
      </c>
      <c r="H5" s="8">
        <v>920</v>
      </c>
      <c r="I5" s="13">
        <f t="shared" si="0"/>
        <v>35820</v>
      </c>
    </row>
    <row r="6" spans="1:9" x14ac:dyDescent="0.3">
      <c r="A6" s="5" t="s">
        <v>158</v>
      </c>
      <c r="B6" s="5" t="s">
        <v>216</v>
      </c>
      <c r="C6" s="9">
        <v>19000</v>
      </c>
      <c r="D6" s="9">
        <v>8500</v>
      </c>
      <c r="E6" s="9">
        <v>4000</v>
      </c>
      <c r="F6" s="9">
        <v>3300</v>
      </c>
      <c r="G6" s="9">
        <v>1150</v>
      </c>
      <c r="H6" s="9">
        <v>1000</v>
      </c>
      <c r="I6" s="13">
        <f t="shared" si="0"/>
        <v>36950</v>
      </c>
    </row>
    <row r="7" spans="1:9" x14ac:dyDescent="0.3">
      <c r="A7" s="2" t="s">
        <v>182</v>
      </c>
      <c r="B7" s="5" t="s">
        <v>216</v>
      </c>
      <c r="C7" s="8">
        <v>19000</v>
      </c>
      <c r="D7" s="8">
        <v>8500</v>
      </c>
      <c r="E7" s="8">
        <v>3800</v>
      </c>
      <c r="F7" s="8">
        <v>3200</v>
      </c>
      <c r="G7" s="8">
        <v>1100</v>
      </c>
      <c r="H7" s="8">
        <v>870</v>
      </c>
      <c r="I7" s="13">
        <f t="shared" si="0"/>
        <v>36470</v>
      </c>
    </row>
    <row r="8" spans="1:9" x14ac:dyDescent="0.3">
      <c r="A8" s="5" t="s">
        <v>202</v>
      </c>
      <c r="B8" s="5" t="s">
        <v>216</v>
      </c>
      <c r="C8" s="9">
        <v>19000</v>
      </c>
      <c r="D8" s="9">
        <v>8500</v>
      </c>
      <c r="E8" s="9">
        <v>4200</v>
      </c>
      <c r="F8" s="9">
        <v>3500</v>
      </c>
      <c r="G8" s="9">
        <v>1250</v>
      </c>
      <c r="H8" s="9">
        <v>950</v>
      </c>
      <c r="I8" s="13">
        <f t="shared" si="0"/>
        <v>37400</v>
      </c>
    </row>
    <row r="9" spans="1:9" x14ac:dyDescent="0.3">
      <c r="A9" s="2" t="s">
        <v>215</v>
      </c>
      <c r="B9" s="2" t="s">
        <v>271</v>
      </c>
      <c r="C9" s="8">
        <v>19500</v>
      </c>
      <c r="D9" s="8">
        <v>8500</v>
      </c>
      <c r="E9" s="8">
        <v>4500</v>
      </c>
      <c r="F9" s="8">
        <v>3600</v>
      </c>
      <c r="G9" s="8">
        <v>1200</v>
      </c>
      <c r="H9" s="8">
        <v>1100</v>
      </c>
      <c r="I9" s="13">
        <f t="shared" si="0"/>
        <v>38400</v>
      </c>
    </row>
    <row r="10" spans="1:9" x14ac:dyDescent="0.3">
      <c r="A10" s="5" t="s">
        <v>232</v>
      </c>
      <c r="B10" s="2" t="s">
        <v>271</v>
      </c>
      <c r="C10" s="9">
        <v>19500</v>
      </c>
      <c r="D10" s="9">
        <v>8500</v>
      </c>
      <c r="E10" s="9">
        <v>5000</v>
      </c>
      <c r="F10" s="9">
        <v>3800</v>
      </c>
      <c r="G10" s="9">
        <v>1300</v>
      </c>
      <c r="H10" s="9">
        <v>1050</v>
      </c>
      <c r="I10" s="13">
        <f t="shared" si="0"/>
        <v>39150</v>
      </c>
    </row>
    <row r="11" spans="1:9" x14ac:dyDescent="0.3">
      <c r="A11" s="2" t="s">
        <v>253</v>
      </c>
      <c r="B11" s="2" t="s">
        <v>271</v>
      </c>
      <c r="C11" s="8">
        <v>20000</v>
      </c>
      <c r="D11" s="8">
        <v>8500</v>
      </c>
      <c r="E11" s="8">
        <v>5500</v>
      </c>
      <c r="F11" s="8">
        <v>4000</v>
      </c>
      <c r="G11" s="8">
        <v>1400</v>
      </c>
      <c r="H11" s="8">
        <v>1200</v>
      </c>
      <c r="I11" s="13">
        <f t="shared" si="0"/>
        <v>40600</v>
      </c>
    </row>
    <row r="12" spans="1:9" x14ac:dyDescent="0.3">
      <c r="A12" s="5" t="s">
        <v>270</v>
      </c>
      <c r="B12" s="5" t="s">
        <v>79</v>
      </c>
      <c r="C12" s="9">
        <v>20000</v>
      </c>
      <c r="D12" s="9">
        <v>8500</v>
      </c>
      <c r="E12" s="9">
        <v>4200</v>
      </c>
      <c r="F12" s="9">
        <v>3500</v>
      </c>
      <c r="G12" s="9">
        <v>1150</v>
      </c>
      <c r="H12" s="9">
        <v>980</v>
      </c>
      <c r="I12" s="13">
        <f t="shared" si="0"/>
        <v>38330</v>
      </c>
    </row>
    <row r="13" spans="1:9" x14ac:dyDescent="0.3">
      <c r="A13" s="2" t="s">
        <v>283</v>
      </c>
      <c r="B13" s="5" t="s">
        <v>79</v>
      </c>
      <c r="C13" s="8">
        <v>20000</v>
      </c>
      <c r="D13" s="8">
        <v>8500</v>
      </c>
      <c r="E13" s="8">
        <v>3800</v>
      </c>
      <c r="F13" s="8">
        <v>3300</v>
      </c>
      <c r="G13" s="8">
        <v>1100</v>
      </c>
      <c r="H13" s="8">
        <v>900</v>
      </c>
      <c r="I13" s="13">
        <f t="shared" si="0"/>
        <v>37600</v>
      </c>
    </row>
    <row r="14" spans="1:9" x14ac:dyDescent="0.3">
      <c r="A14" s="5" t="s">
        <v>297</v>
      </c>
      <c r="B14" s="5" t="s">
        <v>79</v>
      </c>
      <c r="C14" s="9">
        <v>20000</v>
      </c>
      <c r="D14" s="9">
        <v>8500</v>
      </c>
      <c r="E14" s="9">
        <v>3600</v>
      </c>
      <c r="F14" s="9">
        <v>3200</v>
      </c>
      <c r="G14" s="9">
        <v>1050</v>
      </c>
      <c r="H14" s="9">
        <v>850</v>
      </c>
      <c r="I14" s="13">
        <f t="shared" si="0"/>
        <v>37200</v>
      </c>
    </row>
  </sheetData>
  <mergeCells count="1">
    <mergeCell ref="A1:F1"/>
  </mergeCells>
  <phoneticPr fontId="1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91E26-42BE-4CAE-A85A-9F79F936A480}">
  <sheetPr>
    <tabColor theme="7" tint="-0.249977111117893"/>
  </sheetPr>
  <dimension ref="A2:Q26"/>
  <sheetViews>
    <sheetView zoomScale="90" zoomScaleNormal="90" workbookViewId="0">
      <selection activeCell="M27" sqref="M27"/>
    </sheetView>
  </sheetViews>
  <sheetFormatPr defaultRowHeight="14.4" x14ac:dyDescent="0.3"/>
  <cols>
    <col min="1" max="1" width="25.44140625" bestFit="1" customWidth="1"/>
    <col min="2" max="2" width="17.77734375" bestFit="1" customWidth="1"/>
    <col min="4" max="5" width="15.6640625" bestFit="1" customWidth="1"/>
    <col min="6" max="7" width="18.33203125" bestFit="1" customWidth="1"/>
    <col min="11" max="11" width="13.44140625" bestFit="1" customWidth="1"/>
    <col min="12" max="12" width="15.21875" bestFit="1" customWidth="1"/>
    <col min="15" max="15" width="13.109375" bestFit="1" customWidth="1"/>
    <col min="16" max="16" width="14.44140625" bestFit="1" customWidth="1"/>
  </cols>
  <sheetData>
    <row r="2" spans="1:12" ht="21" x14ac:dyDescent="0.4">
      <c r="A2" s="55" t="s">
        <v>349</v>
      </c>
      <c r="B2" s="57">
        <f>SUM(Table2[Total_Revenue_SAR])</f>
        <v>392054</v>
      </c>
      <c r="D2" s="30"/>
    </row>
    <row r="3" spans="1:12" ht="21" x14ac:dyDescent="0.4">
      <c r="A3" s="55" t="s">
        <v>321</v>
      </c>
      <c r="B3" s="57">
        <f>SUM(Table2[Cost_SAR])</f>
        <v>240538.14999999997</v>
      </c>
      <c r="D3" s="29"/>
    </row>
    <row r="4" spans="1:12" ht="21" x14ac:dyDescent="0.4">
      <c r="A4" s="55" t="s">
        <v>322</v>
      </c>
      <c r="B4" s="57">
        <f>SUM(Table2[Profit_SAR])</f>
        <v>151515.85</v>
      </c>
      <c r="G4" s="49" t="s">
        <v>67</v>
      </c>
      <c r="H4" s="49" t="s">
        <v>323</v>
      </c>
      <c r="J4" s="50" t="s">
        <v>340</v>
      </c>
      <c r="K4" s="50" t="s">
        <v>342</v>
      </c>
      <c r="L4" s="50" t="s">
        <v>341</v>
      </c>
    </row>
    <row r="5" spans="1:12" ht="21" x14ac:dyDescent="0.4">
      <c r="A5" s="55" t="s">
        <v>334</v>
      </c>
      <c r="B5" s="58">
        <f>Analysis!B4/Analysis!B2</f>
        <v>0.3864667877384238</v>
      </c>
      <c r="G5" s="54" t="str" cm="1">
        <f t="array" ref="G5:G16">_xlfn.UNIQUE(Table2[Month])</f>
        <v>Apr-23</v>
      </c>
      <c r="H5" s="56">
        <f>SUMIF(Table2[Month],G5,Table2[Total_Revenue_SAR])</f>
        <v>25297</v>
      </c>
      <c r="J5" s="52" t="s">
        <v>78</v>
      </c>
      <c r="K5" s="59">
        <f>SUMIF(Table2[Month],Analysis!J5,Table2[Total_Revenue_SAR])</f>
        <v>25297</v>
      </c>
      <c r="L5" s="62" t="s">
        <v>348</v>
      </c>
    </row>
    <row r="6" spans="1:12" x14ac:dyDescent="0.3">
      <c r="G6" s="54" t="str">
        <v>May-23</v>
      </c>
      <c r="H6" s="56">
        <f>SUMIF(Table2[Month],G6,Table2[Total_Revenue_SAR])</f>
        <v>44687</v>
      </c>
      <c r="J6" s="52" t="s">
        <v>117</v>
      </c>
      <c r="K6" s="59">
        <f>SUMIF(Table2[Month],Analysis!J6,Table2[Total_Revenue_SAR])</f>
        <v>44687</v>
      </c>
      <c r="L6" s="63">
        <f>(K6-K5)/K5</f>
        <v>0.76649405067794596</v>
      </c>
    </row>
    <row r="7" spans="1:12" x14ac:dyDescent="0.3">
      <c r="G7" s="54" t="str">
        <v>Jun-23</v>
      </c>
      <c r="H7" s="56">
        <f>SUMIF(Table2[Month],G7,Table2[Total_Revenue_SAR])</f>
        <v>30355</v>
      </c>
      <c r="J7" s="52" t="s">
        <v>137</v>
      </c>
      <c r="K7" s="59">
        <f>SUMIF(Table2[Month],Analysis!J7,Table2[Total_Revenue_SAR])</f>
        <v>30355</v>
      </c>
      <c r="L7" s="63">
        <f t="shared" ref="L7:L16" si="0">(K7-K6)/K6</f>
        <v>-0.3207196723879428</v>
      </c>
    </row>
    <row r="8" spans="1:12" x14ac:dyDescent="0.3">
      <c r="A8" s="49" t="s">
        <v>70</v>
      </c>
      <c r="B8" s="49" t="s">
        <v>324</v>
      </c>
      <c r="D8" s="49" t="s">
        <v>65</v>
      </c>
      <c r="E8" s="49" t="s">
        <v>75</v>
      </c>
      <c r="G8" s="54" t="str">
        <v>Jul-23</v>
      </c>
      <c r="H8" s="56">
        <f>SUMIF(Table2[Month],G8,Table2[Total_Revenue_SAR])</f>
        <v>44000</v>
      </c>
      <c r="J8" s="52" t="s">
        <v>158</v>
      </c>
      <c r="K8" s="59">
        <f>SUMIF(Table2[Month],Analysis!J8,Table2[Total_Revenue_SAR])</f>
        <v>44000</v>
      </c>
      <c r="L8" s="63">
        <f t="shared" si="0"/>
        <v>0.44951408334705978</v>
      </c>
    </row>
    <row r="9" spans="1:12" x14ac:dyDescent="0.3">
      <c r="A9" s="51" t="s">
        <v>98</v>
      </c>
      <c r="B9" s="59">
        <f>SUMIF(Table2[Region],Analysis!A9,Table2[Total_Revenue_SAR])</f>
        <v>92377</v>
      </c>
      <c r="D9" s="52" t="s">
        <v>135</v>
      </c>
      <c r="E9" s="59">
        <f>_xlfn.XLOOKUP(D9,Table2[Order_ID],Table2[Total_Revenue_SAR])</f>
        <v>247</v>
      </c>
      <c r="G9" s="54" t="str">
        <v>Aug-23</v>
      </c>
      <c r="H9" s="56">
        <f>SUMIF(Table2[Month],G9,Table2[Total_Revenue_SAR])</f>
        <v>47881</v>
      </c>
      <c r="J9" s="52" t="s">
        <v>182</v>
      </c>
      <c r="K9" s="59">
        <f>SUMIF(Table2[Month],Analysis!J9,Table2[Total_Revenue_SAR])</f>
        <v>47881</v>
      </c>
      <c r="L9" s="63">
        <f t="shared" si="0"/>
        <v>8.8204545454545452E-2</v>
      </c>
    </row>
    <row r="10" spans="1:12" x14ac:dyDescent="0.3">
      <c r="A10" s="51" t="s">
        <v>105</v>
      </c>
      <c r="B10" s="59">
        <f>SUMIF(Table2[Region],Analysis!A10,Table2[Total_Revenue_SAR])</f>
        <v>85601</v>
      </c>
      <c r="D10" s="52" t="s">
        <v>148</v>
      </c>
      <c r="E10" s="59">
        <f>_xlfn.XLOOKUP(D10,Table2[Order_ID],Table2[Total_Revenue_SAR])</f>
        <v>110</v>
      </c>
      <c r="G10" s="54" t="str">
        <v>Sep-23</v>
      </c>
      <c r="H10" s="56">
        <f>SUMIF(Table2[Month],G10,Table2[Total_Revenue_SAR])</f>
        <v>20680</v>
      </c>
      <c r="J10" s="52" t="s">
        <v>202</v>
      </c>
      <c r="K10" s="59">
        <f>SUMIF(Table2[Month],Analysis!J10,Table2[Total_Revenue_SAR])</f>
        <v>20680</v>
      </c>
      <c r="L10" s="63">
        <f t="shared" si="0"/>
        <v>-0.56809590442973201</v>
      </c>
    </row>
    <row r="11" spans="1:12" x14ac:dyDescent="0.3">
      <c r="A11" s="51" t="s">
        <v>81</v>
      </c>
      <c r="B11" s="59">
        <f>SUMIF(Table2[Region],Analysis!A11,Table2[Total_Revenue_SAR])</f>
        <v>82724</v>
      </c>
      <c r="D11" s="52" t="s">
        <v>218</v>
      </c>
      <c r="E11" s="59">
        <f>_xlfn.XLOOKUP(D11,Table2[Order_ID],Table2[Total_Revenue_SAR])</f>
        <v>266</v>
      </c>
      <c r="G11" s="54" t="str">
        <v>Oct-23</v>
      </c>
      <c r="H11" s="56">
        <f>SUMIF(Table2[Month],G11,Table2[Total_Revenue_SAR])</f>
        <v>17292</v>
      </c>
      <c r="J11" s="52" t="s">
        <v>215</v>
      </c>
      <c r="K11" s="59">
        <f>SUMIF(Table2[Month],Analysis!J11,Table2[Total_Revenue_SAR])</f>
        <v>17292</v>
      </c>
      <c r="L11" s="63">
        <f t="shared" si="0"/>
        <v>-0.16382978723404254</v>
      </c>
    </row>
    <row r="12" spans="1:12" x14ac:dyDescent="0.3">
      <c r="A12" s="51" t="s">
        <v>112</v>
      </c>
      <c r="B12" s="59">
        <f>SUMIF(Table2[Region],Analysis!A12,Table2[Total_Revenue_SAR])</f>
        <v>66021</v>
      </c>
      <c r="C12" s="31"/>
      <c r="D12" s="52" t="s">
        <v>239</v>
      </c>
      <c r="E12" s="59">
        <f>_xlfn.XLOOKUP(D12,Table2[Order_ID],Table2[Total_Revenue_SAR])</f>
        <v>532</v>
      </c>
      <c r="G12" s="54" t="str">
        <v>Nov-23</v>
      </c>
      <c r="H12" s="56">
        <f>SUMIF(Table2[Month],G12,Table2[Total_Revenue_SAR])</f>
        <v>27951</v>
      </c>
      <c r="J12" s="52" t="s">
        <v>232</v>
      </c>
      <c r="K12" s="59">
        <f>SUMIF(Table2[Month],Analysis!J12,Table2[Total_Revenue_SAR])</f>
        <v>27951</v>
      </c>
      <c r="L12" s="63">
        <f t="shared" si="0"/>
        <v>0.61641221374045807</v>
      </c>
    </row>
    <row r="13" spans="1:12" x14ac:dyDescent="0.3">
      <c r="A13" s="51" t="s">
        <v>86</v>
      </c>
      <c r="B13" s="59">
        <f>SUMIF(Table2[Region],Analysis!A13,Table2[Total_Revenue_SAR])</f>
        <v>65331</v>
      </c>
      <c r="D13" s="52" t="s">
        <v>266</v>
      </c>
      <c r="E13" s="59">
        <f>_xlfn.XLOOKUP(D13,Table2[Order_ID],Table2[Total_Revenue_SAR])</f>
        <v>912</v>
      </c>
      <c r="G13" s="54" t="str">
        <v>Dec-23</v>
      </c>
      <c r="H13" s="56">
        <f>SUMIF(Table2[Month],G13,Table2[Total_Revenue_SAR])</f>
        <v>52201</v>
      </c>
      <c r="J13" s="52" t="s">
        <v>253</v>
      </c>
      <c r="K13" s="59">
        <f>SUMIF(Table2[Month],Analysis!J13,Table2[Total_Revenue_SAR])</f>
        <v>52201</v>
      </c>
      <c r="L13" s="63">
        <f t="shared" si="0"/>
        <v>0.86758971056491718</v>
      </c>
    </row>
    <row r="14" spans="1:12" x14ac:dyDescent="0.3">
      <c r="D14" s="52" t="s">
        <v>300</v>
      </c>
      <c r="E14" s="59">
        <f>_xlfn.XLOOKUP(D14,Table2[Order_ID],Table2[Total_Revenue_SAR])</f>
        <v>280</v>
      </c>
      <c r="G14" s="54" t="str">
        <v>Jan-24</v>
      </c>
      <c r="H14" s="56">
        <f>SUMIF(Table2[Month],G14,Table2[Total_Revenue_SAR])</f>
        <v>33123</v>
      </c>
      <c r="J14" s="52" t="s">
        <v>270</v>
      </c>
      <c r="K14" s="59">
        <f>SUMIF(Table2[Month],Analysis!J14,Table2[Total_Revenue_SAR])</f>
        <v>33123</v>
      </c>
      <c r="L14" s="63">
        <f t="shared" si="0"/>
        <v>-0.36547192582517574</v>
      </c>
    </row>
    <row r="15" spans="1:12" x14ac:dyDescent="0.3">
      <c r="A15" s="50" t="s">
        <v>325</v>
      </c>
      <c r="B15" s="49" t="s">
        <v>324</v>
      </c>
      <c r="D15" s="52" t="s">
        <v>306</v>
      </c>
      <c r="E15" s="59">
        <f>_xlfn.XLOOKUP(D15,Table2[Order_ID],Table2[Total_Revenue_SAR])</f>
        <v>28</v>
      </c>
      <c r="G15" s="54" t="str">
        <v>Feb-24</v>
      </c>
      <c r="H15" s="56">
        <f>SUMIF(Table2[Month],G15,Table2[Total_Revenue_SAR])</f>
        <v>27714</v>
      </c>
      <c r="J15" s="52" t="s">
        <v>283</v>
      </c>
      <c r="K15" s="59">
        <f>SUMIF(Table2[Month],Analysis!J15,Table2[Total_Revenue_SAR])</f>
        <v>27714</v>
      </c>
      <c r="L15" s="63">
        <f t="shared" si="0"/>
        <v>-0.16330042568607916</v>
      </c>
    </row>
    <row r="16" spans="1:12" x14ac:dyDescent="0.3">
      <c r="A16" s="53" t="s">
        <v>82</v>
      </c>
      <c r="B16" s="56">
        <f>SUMIF(Table2[Product_Category],Analysis!A16,Table2[Total_Revenue_SAR])</f>
        <v>108190</v>
      </c>
      <c r="G16" s="54" t="str">
        <v>Mar-24</v>
      </c>
      <c r="H16" s="56">
        <f>SUMIF(Table2[Month],G16,Table2[Total_Revenue_SAR])</f>
        <v>20873</v>
      </c>
      <c r="J16" s="52" t="s">
        <v>297</v>
      </c>
      <c r="K16" s="59">
        <f>SUMIF(Table2[Month],Analysis!J16,Table2[Total_Revenue_SAR])</f>
        <v>20873</v>
      </c>
      <c r="L16" s="63">
        <f t="shared" si="0"/>
        <v>-0.24684275095619543</v>
      </c>
    </row>
    <row r="17" spans="1:17" x14ac:dyDescent="0.3">
      <c r="A17" s="53" t="s">
        <v>106</v>
      </c>
      <c r="B17" s="56">
        <f>SUMIF(Table2[Product_Category],Analysis!A17,Table2[Total_Revenue_SAR])</f>
        <v>155910</v>
      </c>
    </row>
    <row r="18" spans="1:17" x14ac:dyDescent="0.3">
      <c r="A18" s="53" t="s">
        <v>94</v>
      </c>
      <c r="B18" s="56">
        <f>SUMIF(Table2[Product_Category],Analysis!A18,Table2[Total_Revenue_SAR])</f>
        <v>109940</v>
      </c>
    </row>
    <row r="19" spans="1:17" x14ac:dyDescent="0.3">
      <c r="A19" s="53" t="s">
        <v>102</v>
      </c>
      <c r="B19" s="56">
        <f>SUMIF(Table2[Product_Category],Analysis!A19,Table2[Total_Revenue_SAR])</f>
        <v>7991</v>
      </c>
      <c r="D19" s="60" t="s">
        <v>327</v>
      </c>
      <c r="E19" s="61" t="s">
        <v>338</v>
      </c>
      <c r="F19" s="49" t="s">
        <v>339</v>
      </c>
      <c r="G19" s="49" t="s">
        <v>328</v>
      </c>
    </row>
    <row r="20" spans="1:17" x14ac:dyDescent="0.3">
      <c r="A20" s="53" t="s">
        <v>109</v>
      </c>
      <c r="B20" s="56">
        <f>SUMIF(Table2[Product_Category],Analysis!A20,Table2[Total_Revenue_SAR])</f>
        <v>10023</v>
      </c>
      <c r="D20" s="54" t="s">
        <v>101</v>
      </c>
      <c r="E20" s="59">
        <f>AVERAGEIF(Table2[Salesperson],Analysis!D20,Table2[Total_Revenue_SAR])</f>
        <v>2495.2758620689656</v>
      </c>
      <c r="F20" s="59">
        <f>SUMIF(Table2[Salesperson],Analysis!D20,Table2[Total_Revenue_SAR])</f>
        <v>72363</v>
      </c>
      <c r="G20" s="56">
        <f>RANK(F20,$F$20:$F$26,0)</f>
        <v>1</v>
      </c>
    </row>
    <row r="21" spans="1:17" x14ac:dyDescent="0.3">
      <c r="D21" s="54" t="s">
        <v>115</v>
      </c>
      <c r="E21" s="59">
        <f>AVERAGEIF(Table2[Salesperson],Analysis!D21,Table2[Total_Revenue_SAR])</f>
        <v>2814.76</v>
      </c>
      <c r="F21" s="59">
        <f>SUMIF(Table2[Salesperson],Analysis!D21,Table2[Total_Revenue_SAR])</f>
        <v>70369</v>
      </c>
      <c r="G21" s="56">
        <f>RANK(F21,$F$20:$F$26,0)</f>
        <v>2</v>
      </c>
    </row>
    <row r="22" spans="1:17" x14ac:dyDescent="0.3">
      <c r="A22" s="50" t="s">
        <v>68</v>
      </c>
      <c r="B22" s="49" t="s">
        <v>326</v>
      </c>
      <c r="D22" s="54" t="s">
        <v>80</v>
      </c>
      <c r="E22" s="59">
        <f>AVERAGEIF(Table2[Salesperson],Analysis!D22,Table2[Total_Revenue_SAR])</f>
        <v>2182.4642857142858</v>
      </c>
      <c r="F22" s="59">
        <f>SUMIF(Table2[Salesperson],Analysis!D22,Table2[Total_Revenue_SAR])</f>
        <v>61109</v>
      </c>
      <c r="G22" s="56">
        <f>RANK(F22,$F$20:$F$26,0)</f>
        <v>3</v>
      </c>
      <c r="Q22" s="56"/>
    </row>
    <row r="23" spans="1:17" x14ac:dyDescent="0.3">
      <c r="A23" s="53" t="s">
        <v>159</v>
      </c>
      <c r="B23" s="56">
        <f>COUNTIF(Table2[Quarter],Analysis!A23)</f>
        <v>41</v>
      </c>
      <c r="D23" s="54" t="s">
        <v>85</v>
      </c>
      <c r="E23" s="59">
        <f>AVERAGEIF(Table2[Salesperson],Analysis!D23,Table2[Total_Revenue_SAR])</f>
        <v>2708.818181818182</v>
      </c>
      <c r="F23" s="59">
        <f>SUMIF(Table2[Salesperson],Analysis!D23,Table2[Total_Revenue_SAR])</f>
        <v>59594</v>
      </c>
      <c r="G23" s="56">
        <f>RANK(F23,$F$20:$F$26,0)</f>
        <v>4</v>
      </c>
    </row>
    <row r="24" spans="1:17" x14ac:dyDescent="0.3">
      <c r="A24" s="53" t="s">
        <v>216</v>
      </c>
      <c r="B24" s="56">
        <f>COUNTIF(Table2[Quarter],Analysis!A24)</f>
        <v>48</v>
      </c>
      <c r="D24" s="54" t="s">
        <v>91</v>
      </c>
      <c r="E24" s="59">
        <f>AVERAGEIF(Table2[Salesperson],Analysis!D24,Table2[Total_Revenue_SAR])</f>
        <v>2502.8260869565215</v>
      </c>
      <c r="F24" s="59">
        <f>SUMIF(Table2[Salesperson],Analysis!D24,Table2[Total_Revenue_SAR])</f>
        <v>57565</v>
      </c>
      <c r="G24" s="56">
        <f>RANK(F24,$F$20:$F$26,0)</f>
        <v>5</v>
      </c>
    </row>
    <row r="25" spans="1:17" x14ac:dyDescent="0.3">
      <c r="A25" s="53" t="s">
        <v>271</v>
      </c>
      <c r="B25" s="56">
        <f>COUNTIF(Table2[Quarter],Analysis!A25)</f>
        <v>49</v>
      </c>
      <c r="D25" s="54" t="s">
        <v>93</v>
      </c>
      <c r="E25" s="59">
        <f>AVERAGEIF(Table2[Salesperson],Analysis!D25,Table2[Total_Revenue_SAR])</f>
        <v>1889.5714285714287</v>
      </c>
      <c r="F25" s="59">
        <f>SUMIF(Table2[Salesperson],Analysis!D25,Table2[Total_Revenue_SAR])</f>
        <v>39681</v>
      </c>
      <c r="G25" s="56">
        <f>RANK(F25,$F$20:$F$26,0)</f>
        <v>6</v>
      </c>
    </row>
    <row r="26" spans="1:17" x14ac:dyDescent="0.3">
      <c r="A26" s="53" t="s">
        <v>79</v>
      </c>
      <c r="B26" s="56">
        <f>COUNTIF(Table2[Quarter],Analysis!A26)</f>
        <v>34</v>
      </c>
      <c r="D26" s="54" t="s">
        <v>97</v>
      </c>
      <c r="E26" s="59">
        <f>AVERAGEIF(Table2[Salesperson],Analysis!D26,Table2[Total_Revenue_SAR])</f>
        <v>1307.2083333333333</v>
      </c>
      <c r="F26" s="59">
        <f>SUMIF(Table2[Salesperson],Analysis!D26,Table2[Total_Revenue_SAR])</f>
        <v>31373</v>
      </c>
      <c r="G26" s="56">
        <f>RANK(F26,$F$20:$F$26,0)</f>
        <v>7</v>
      </c>
    </row>
  </sheetData>
  <sortState xmlns:xlrd2="http://schemas.microsoft.com/office/spreadsheetml/2017/richdata2" ref="A9:B13">
    <sortCondition descending="1" ref="B9:B13"/>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9C16F-A59E-447F-82D1-B4907B633E34}">
  <sheetPr>
    <tabColor theme="5" tint="0.39997558519241921"/>
  </sheetPr>
  <dimension ref="A3:I27"/>
  <sheetViews>
    <sheetView workbookViewId="0">
      <selection activeCell="K13" sqref="K13"/>
    </sheetView>
  </sheetViews>
  <sheetFormatPr defaultRowHeight="14.4" x14ac:dyDescent="0.3"/>
  <cols>
    <col min="1" max="1" width="25.44140625" bestFit="1" customWidth="1"/>
    <col min="2" max="2" width="14.5546875" bestFit="1" customWidth="1"/>
    <col min="4" max="4" width="15.6640625" bestFit="1" customWidth="1"/>
    <col min="5" max="5" width="31.44140625" bestFit="1" customWidth="1"/>
    <col min="6" max="6" width="24.6640625" bestFit="1" customWidth="1"/>
    <col min="7" max="7" width="25" bestFit="1" customWidth="1"/>
    <col min="8" max="8" width="12.88671875" bestFit="1" customWidth="1"/>
    <col min="9" max="9" width="14.5546875" bestFit="1" customWidth="1"/>
    <col min="10" max="10" width="25" bestFit="1" customWidth="1"/>
  </cols>
  <sheetData>
    <row r="3" spans="1:9" x14ac:dyDescent="0.3">
      <c r="A3" s="34" t="s">
        <v>344</v>
      </c>
      <c r="D3" s="34" t="s">
        <v>345</v>
      </c>
      <c r="E3" s="34" t="s">
        <v>68</v>
      </c>
    </row>
    <row r="4" spans="1:9" x14ac:dyDescent="0.3">
      <c r="A4" s="34" t="s">
        <v>67</v>
      </c>
      <c r="B4" t="s">
        <v>332</v>
      </c>
      <c r="D4" s="34" t="s">
        <v>70</v>
      </c>
      <c r="E4" t="s">
        <v>159</v>
      </c>
      <c r="F4" t="s">
        <v>216</v>
      </c>
      <c r="G4" t="s">
        <v>271</v>
      </c>
      <c r="H4" t="s">
        <v>79</v>
      </c>
      <c r="I4" t="s">
        <v>330</v>
      </c>
    </row>
    <row r="5" spans="1:9" x14ac:dyDescent="0.3">
      <c r="A5" t="s">
        <v>78</v>
      </c>
      <c r="B5" s="27">
        <v>25297</v>
      </c>
      <c r="D5" t="s">
        <v>112</v>
      </c>
      <c r="E5" s="27">
        <v>4670.25</v>
      </c>
      <c r="F5" s="27">
        <v>6381.1</v>
      </c>
      <c r="G5" s="27">
        <v>5982.95</v>
      </c>
      <c r="H5" s="27">
        <v>8424.35</v>
      </c>
      <c r="I5" s="27">
        <v>25458.65</v>
      </c>
    </row>
    <row r="6" spans="1:9" x14ac:dyDescent="0.3">
      <c r="A6" t="s">
        <v>117</v>
      </c>
      <c r="B6" s="27">
        <v>44687</v>
      </c>
      <c r="D6" t="s">
        <v>81</v>
      </c>
      <c r="E6" s="27">
        <v>6274.95</v>
      </c>
      <c r="F6" s="27">
        <v>2770.35</v>
      </c>
      <c r="G6" s="27">
        <v>4764.8999999999996</v>
      </c>
      <c r="H6" s="27">
        <v>17571.900000000001</v>
      </c>
      <c r="I6" s="27">
        <v>31382.1</v>
      </c>
    </row>
    <row r="7" spans="1:9" x14ac:dyDescent="0.3">
      <c r="A7" t="s">
        <v>137</v>
      </c>
      <c r="B7" s="27">
        <v>30355</v>
      </c>
      <c r="D7" t="s">
        <v>98</v>
      </c>
      <c r="E7" s="27">
        <v>6121.8499999999995</v>
      </c>
      <c r="F7" s="27">
        <v>14476.45</v>
      </c>
      <c r="G7" s="27">
        <v>13165.349999999999</v>
      </c>
      <c r="H7" s="27">
        <v>3017.85</v>
      </c>
      <c r="I7" s="27">
        <v>36781.499999999993</v>
      </c>
    </row>
    <row r="8" spans="1:9" x14ac:dyDescent="0.3">
      <c r="A8" t="s">
        <v>158</v>
      </c>
      <c r="B8" s="27">
        <v>44000</v>
      </c>
      <c r="D8" t="s">
        <v>105</v>
      </c>
      <c r="E8" s="27">
        <v>13917.35</v>
      </c>
      <c r="F8" s="27">
        <v>9761.0499999999993</v>
      </c>
      <c r="G8" s="27">
        <v>7350.9</v>
      </c>
      <c r="H8" s="27">
        <v>2184.4</v>
      </c>
      <c r="I8" s="27">
        <v>33213.700000000004</v>
      </c>
    </row>
    <row r="9" spans="1:9" x14ac:dyDescent="0.3">
      <c r="A9" t="s">
        <v>182</v>
      </c>
      <c r="B9" s="27">
        <v>47881</v>
      </c>
      <c r="D9" t="s">
        <v>86</v>
      </c>
      <c r="E9" s="27">
        <v>11962.000000000002</v>
      </c>
      <c r="F9" s="27">
        <v>4976.5</v>
      </c>
      <c r="G9" s="27">
        <v>841.4</v>
      </c>
      <c r="H9" s="27">
        <v>6900</v>
      </c>
      <c r="I9" s="27">
        <v>24679.9</v>
      </c>
    </row>
    <row r="10" spans="1:9" x14ac:dyDescent="0.3">
      <c r="A10" t="s">
        <v>202</v>
      </c>
      <c r="B10" s="27">
        <v>20680</v>
      </c>
      <c r="D10" t="s">
        <v>330</v>
      </c>
      <c r="E10" s="27">
        <v>42946.400000000001</v>
      </c>
      <c r="F10" s="27">
        <v>38365.449999999997</v>
      </c>
      <c r="G10" s="27">
        <v>32105.5</v>
      </c>
      <c r="H10" s="27">
        <v>38098.5</v>
      </c>
      <c r="I10" s="27">
        <v>151515.85</v>
      </c>
    </row>
    <row r="11" spans="1:9" x14ac:dyDescent="0.3">
      <c r="A11" t="s">
        <v>215</v>
      </c>
      <c r="B11" s="27">
        <v>17292</v>
      </c>
    </row>
    <row r="12" spans="1:9" x14ac:dyDescent="0.3">
      <c r="A12" t="s">
        <v>232</v>
      </c>
      <c r="B12" s="27">
        <v>27951</v>
      </c>
    </row>
    <row r="13" spans="1:9" x14ac:dyDescent="0.3">
      <c r="A13" t="s">
        <v>253</v>
      </c>
      <c r="B13" s="27">
        <v>52201</v>
      </c>
      <c r="E13" s="34" t="s">
        <v>347</v>
      </c>
    </row>
    <row r="14" spans="1:9" x14ac:dyDescent="0.3">
      <c r="A14" t="s">
        <v>270</v>
      </c>
      <c r="B14" s="27">
        <v>33123</v>
      </c>
      <c r="D14" s="34" t="s">
        <v>69</v>
      </c>
      <c r="E14" t="s">
        <v>333</v>
      </c>
      <c r="F14" t="s">
        <v>331</v>
      </c>
      <c r="G14" t="s">
        <v>343</v>
      </c>
    </row>
    <row r="15" spans="1:9" x14ac:dyDescent="0.3">
      <c r="A15" t="s">
        <v>283</v>
      </c>
      <c r="B15" s="27">
        <v>27714</v>
      </c>
      <c r="D15" t="s">
        <v>101</v>
      </c>
      <c r="E15" s="27">
        <v>44957.8</v>
      </c>
      <c r="F15" s="27">
        <v>72363</v>
      </c>
      <c r="G15" s="35">
        <v>0.41620689655172416</v>
      </c>
    </row>
    <row r="16" spans="1:9" x14ac:dyDescent="0.3">
      <c r="A16" t="s">
        <v>297</v>
      </c>
      <c r="B16" s="27">
        <v>20873</v>
      </c>
      <c r="D16" t="s">
        <v>80</v>
      </c>
      <c r="E16" s="27">
        <v>37448.1</v>
      </c>
      <c r="F16" s="27">
        <v>61109</v>
      </c>
      <c r="G16" s="35">
        <v>0.43285714285714294</v>
      </c>
    </row>
    <row r="17" spans="1:7" x14ac:dyDescent="0.3">
      <c r="A17" t="s">
        <v>330</v>
      </c>
      <c r="B17" s="27">
        <v>392054</v>
      </c>
      <c r="D17" t="s">
        <v>97</v>
      </c>
      <c r="E17" s="27">
        <v>18719.149999999998</v>
      </c>
      <c r="F17" s="27">
        <v>31373</v>
      </c>
      <c r="G17" s="35">
        <v>0.46875</v>
      </c>
    </row>
    <row r="18" spans="1:7" x14ac:dyDescent="0.3">
      <c r="D18" t="s">
        <v>115</v>
      </c>
      <c r="E18" s="27">
        <v>43628.9</v>
      </c>
      <c r="F18" s="27">
        <v>70369</v>
      </c>
      <c r="G18" s="35">
        <v>0.41320000000000001</v>
      </c>
    </row>
    <row r="19" spans="1:7" x14ac:dyDescent="0.3">
      <c r="D19" t="s">
        <v>85</v>
      </c>
      <c r="E19" s="27">
        <v>36186.549999999996</v>
      </c>
      <c r="F19" s="27">
        <v>59594</v>
      </c>
      <c r="G19" s="35">
        <v>0.42363636363636364</v>
      </c>
    </row>
    <row r="20" spans="1:7" x14ac:dyDescent="0.3">
      <c r="A20" s="34" t="s">
        <v>346</v>
      </c>
      <c r="D20" t="s">
        <v>91</v>
      </c>
      <c r="E20" s="27">
        <v>34834.1</v>
      </c>
      <c r="F20" s="27">
        <v>57565</v>
      </c>
      <c r="G20" s="35">
        <v>0.4256521739130435</v>
      </c>
    </row>
    <row r="21" spans="1:7" x14ac:dyDescent="0.3">
      <c r="A21" s="34" t="s">
        <v>72</v>
      </c>
      <c r="B21" t="s">
        <v>332</v>
      </c>
      <c r="D21" t="s">
        <v>93</v>
      </c>
      <c r="E21" s="27">
        <v>24763.55</v>
      </c>
      <c r="F21" s="27">
        <v>39681</v>
      </c>
      <c r="G21" s="35">
        <v>0.44714285714285718</v>
      </c>
    </row>
    <row r="22" spans="1:7" x14ac:dyDescent="0.3">
      <c r="A22" t="s">
        <v>87</v>
      </c>
      <c r="B22">
        <v>141</v>
      </c>
      <c r="D22" t="s">
        <v>330</v>
      </c>
      <c r="E22" s="27">
        <v>240538.14999999994</v>
      </c>
      <c r="F22" s="27">
        <v>392054</v>
      </c>
      <c r="G22" s="35">
        <v>0.43180232558139509</v>
      </c>
    </row>
    <row r="23" spans="1:7" x14ac:dyDescent="0.3">
      <c r="A23" t="s">
        <v>113</v>
      </c>
      <c r="B23">
        <v>136</v>
      </c>
    </row>
    <row r="24" spans="1:7" x14ac:dyDescent="0.3">
      <c r="A24" t="s">
        <v>83</v>
      </c>
      <c r="B24">
        <v>135</v>
      </c>
    </row>
    <row r="25" spans="1:7" x14ac:dyDescent="0.3">
      <c r="A25" t="s">
        <v>161</v>
      </c>
      <c r="B25">
        <v>124</v>
      </c>
    </row>
    <row r="26" spans="1:7" x14ac:dyDescent="0.3">
      <c r="A26" t="s">
        <v>126</v>
      </c>
      <c r="B26">
        <v>122</v>
      </c>
    </row>
    <row r="27" spans="1:7" x14ac:dyDescent="0.3">
      <c r="A27" t="s">
        <v>330</v>
      </c>
      <c r="B27">
        <v>658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B9126-3D27-4600-8AA7-A69792918E86}">
  <dimension ref="A3:I20"/>
  <sheetViews>
    <sheetView workbookViewId="0">
      <selection activeCell="H13" sqref="H13:I20"/>
    </sheetView>
  </sheetViews>
  <sheetFormatPr defaultRowHeight="14.4" x14ac:dyDescent="0.3"/>
  <cols>
    <col min="1" max="1" width="10.77734375" bestFit="1" customWidth="1"/>
    <col min="2" max="2" width="27.6640625" bestFit="1" customWidth="1"/>
    <col min="3" max="3" width="11.109375" bestFit="1" customWidth="1"/>
    <col min="5" max="5" width="16.33203125" bestFit="1" customWidth="1"/>
    <col min="6" max="6" width="10" bestFit="1" customWidth="1"/>
    <col min="7" max="7" width="15.5546875" bestFit="1" customWidth="1"/>
    <col min="8" max="8" width="15.6640625" bestFit="1" customWidth="1"/>
    <col min="9" max="9" width="7" bestFit="1" customWidth="1"/>
    <col min="10" max="10" width="10" bestFit="1" customWidth="1"/>
  </cols>
  <sheetData>
    <row r="3" spans="1:9" x14ac:dyDescent="0.3">
      <c r="B3" s="34" t="s">
        <v>351</v>
      </c>
      <c r="E3" s="34" t="s">
        <v>335</v>
      </c>
      <c r="H3" s="34" t="s">
        <v>352</v>
      </c>
    </row>
    <row r="4" spans="1:9" x14ac:dyDescent="0.3">
      <c r="A4" s="34" t="s">
        <v>67</v>
      </c>
      <c r="B4" t="s">
        <v>308</v>
      </c>
      <c r="C4" t="s">
        <v>350</v>
      </c>
      <c r="E4" s="34" t="s">
        <v>70</v>
      </c>
      <c r="F4" t="s">
        <v>332</v>
      </c>
      <c r="H4" s="34" t="s">
        <v>71</v>
      </c>
      <c r="I4" t="s">
        <v>332</v>
      </c>
    </row>
    <row r="5" spans="1:9" x14ac:dyDescent="0.3">
      <c r="A5" t="s">
        <v>78</v>
      </c>
      <c r="B5">
        <v>42000</v>
      </c>
      <c r="C5">
        <v>38500</v>
      </c>
      <c r="E5" t="s">
        <v>98</v>
      </c>
      <c r="F5">
        <v>92377</v>
      </c>
      <c r="H5" t="s">
        <v>82</v>
      </c>
      <c r="I5" s="35">
        <v>0.2759568834905396</v>
      </c>
    </row>
    <row r="6" spans="1:9" x14ac:dyDescent="0.3">
      <c r="A6" t="s">
        <v>117</v>
      </c>
      <c r="B6">
        <v>45000</v>
      </c>
      <c r="C6">
        <v>46200</v>
      </c>
      <c r="E6" t="s">
        <v>105</v>
      </c>
      <c r="F6">
        <v>85601</v>
      </c>
      <c r="H6" t="s">
        <v>106</v>
      </c>
      <c r="I6" s="35">
        <v>0.39767481010268996</v>
      </c>
    </row>
    <row r="7" spans="1:9" x14ac:dyDescent="0.3">
      <c r="A7" t="s">
        <v>137</v>
      </c>
      <c r="B7">
        <v>48000</v>
      </c>
      <c r="C7">
        <v>51000</v>
      </c>
      <c r="E7" t="s">
        <v>81</v>
      </c>
      <c r="F7">
        <v>82724</v>
      </c>
      <c r="H7" t="s">
        <v>94</v>
      </c>
      <c r="I7" s="35">
        <v>0.2804205543113959</v>
      </c>
    </row>
    <row r="8" spans="1:9" x14ac:dyDescent="0.3">
      <c r="A8" t="s">
        <v>158</v>
      </c>
      <c r="B8">
        <v>50000</v>
      </c>
      <c r="C8">
        <v>48800</v>
      </c>
      <c r="E8" t="s">
        <v>112</v>
      </c>
      <c r="F8">
        <v>66021</v>
      </c>
      <c r="H8" t="s">
        <v>102</v>
      </c>
      <c r="I8" s="35">
        <v>2.0382396302550159E-2</v>
      </c>
    </row>
    <row r="9" spans="1:9" x14ac:dyDescent="0.3">
      <c r="A9" t="s">
        <v>202</v>
      </c>
      <c r="B9">
        <v>55000</v>
      </c>
      <c r="C9">
        <v>58900</v>
      </c>
      <c r="E9" t="s">
        <v>86</v>
      </c>
      <c r="F9">
        <v>65331</v>
      </c>
      <c r="H9" t="s">
        <v>109</v>
      </c>
      <c r="I9" s="35">
        <v>2.5565355792824457E-2</v>
      </c>
    </row>
    <row r="10" spans="1:9" x14ac:dyDescent="0.3">
      <c r="A10" t="s">
        <v>182</v>
      </c>
      <c r="B10">
        <v>52000</v>
      </c>
      <c r="C10">
        <v>53400</v>
      </c>
      <c r="E10" t="s">
        <v>330</v>
      </c>
      <c r="F10">
        <v>392054</v>
      </c>
      <c r="H10" t="s">
        <v>330</v>
      </c>
      <c r="I10" s="35">
        <v>1</v>
      </c>
    </row>
    <row r="11" spans="1:9" x14ac:dyDescent="0.3">
      <c r="A11" t="s">
        <v>215</v>
      </c>
      <c r="B11">
        <v>57000</v>
      </c>
      <c r="C11">
        <v>55000</v>
      </c>
    </row>
    <row r="12" spans="1:9" x14ac:dyDescent="0.3">
      <c r="A12" t="s">
        <v>232</v>
      </c>
      <c r="B12">
        <v>60000</v>
      </c>
      <c r="C12">
        <v>63200</v>
      </c>
    </row>
    <row r="13" spans="1:9" x14ac:dyDescent="0.3">
      <c r="A13" t="s">
        <v>253</v>
      </c>
      <c r="B13">
        <v>65000</v>
      </c>
      <c r="C13">
        <v>70100</v>
      </c>
      <c r="E13" s="34" t="s">
        <v>353</v>
      </c>
      <c r="H13" s="34" t="s">
        <v>354</v>
      </c>
    </row>
    <row r="14" spans="1:9" x14ac:dyDescent="0.3">
      <c r="A14" t="s">
        <v>270</v>
      </c>
      <c r="B14">
        <v>58000</v>
      </c>
      <c r="C14">
        <v>54300</v>
      </c>
      <c r="E14" s="34" t="s">
        <v>68</v>
      </c>
      <c r="F14" t="s">
        <v>332</v>
      </c>
      <c r="H14" s="34" t="s">
        <v>69</v>
      </c>
      <c r="I14" t="s">
        <v>332</v>
      </c>
    </row>
    <row r="15" spans="1:9" x14ac:dyDescent="0.3">
      <c r="A15" t="s">
        <v>283</v>
      </c>
      <c r="B15">
        <v>56000</v>
      </c>
      <c r="C15">
        <v>57800</v>
      </c>
      <c r="E15" t="s">
        <v>159</v>
      </c>
      <c r="F15">
        <v>38098.5</v>
      </c>
      <c r="H15" t="s">
        <v>101</v>
      </c>
      <c r="I15">
        <v>72363</v>
      </c>
    </row>
    <row r="16" spans="1:9" x14ac:dyDescent="0.3">
      <c r="A16" t="s">
        <v>297</v>
      </c>
      <c r="B16">
        <v>54000</v>
      </c>
      <c r="C16">
        <v>52600</v>
      </c>
      <c r="E16" t="s">
        <v>216</v>
      </c>
      <c r="F16">
        <v>42946.400000000009</v>
      </c>
      <c r="H16" t="s">
        <v>115</v>
      </c>
      <c r="I16">
        <v>70369</v>
      </c>
    </row>
    <row r="17" spans="1:9" x14ac:dyDescent="0.3">
      <c r="A17" t="s">
        <v>330</v>
      </c>
      <c r="B17">
        <v>642000</v>
      </c>
      <c r="C17">
        <v>649800</v>
      </c>
      <c r="E17" t="s">
        <v>271</v>
      </c>
      <c r="F17">
        <v>38365.449999999997</v>
      </c>
      <c r="H17" t="s">
        <v>80</v>
      </c>
      <c r="I17">
        <v>61109</v>
      </c>
    </row>
    <row r="18" spans="1:9" x14ac:dyDescent="0.3">
      <c r="E18" t="s">
        <v>79</v>
      </c>
      <c r="F18">
        <v>32105.500000000007</v>
      </c>
      <c r="H18" t="s">
        <v>85</v>
      </c>
      <c r="I18">
        <v>59594</v>
      </c>
    </row>
    <row r="19" spans="1:9" x14ac:dyDescent="0.3">
      <c r="E19" t="s">
        <v>330</v>
      </c>
      <c r="F19">
        <v>151515.85</v>
      </c>
      <c r="H19" t="s">
        <v>91</v>
      </c>
      <c r="I19">
        <v>57565</v>
      </c>
    </row>
    <row r="20" spans="1:9" x14ac:dyDescent="0.3">
      <c r="H20" t="s">
        <v>330</v>
      </c>
      <c r="I20">
        <v>321000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80153-B660-40AB-AEE3-6181564A42E0}">
  <sheetPr>
    <tabColor rgb="FFC9A84C"/>
  </sheetPr>
  <dimension ref="A1:X6"/>
  <sheetViews>
    <sheetView showGridLines="0" showRowColHeaders="0" zoomScaleNormal="100" workbookViewId="0">
      <selection activeCell="T31" sqref="T31"/>
    </sheetView>
  </sheetViews>
  <sheetFormatPr defaultRowHeight="14.4" x14ac:dyDescent="0.3"/>
  <sheetData>
    <row r="1" spans="1:24" x14ac:dyDescent="0.3">
      <c r="A1" s="37"/>
      <c r="B1" s="37"/>
      <c r="C1" s="37"/>
      <c r="D1" s="37"/>
      <c r="E1" s="37"/>
      <c r="F1" s="37"/>
      <c r="G1" s="37"/>
      <c r="H1" s="37"/>
      <c r="I1" s="37"/>
      <c r="J1" s="37"/>
      <c r="K1" s="37"/>
      <c r="L1" s="37"/>
      <c r="M1" s="37"/>
      <c r="N1" s="37"/>
      <c r="O1" s="37"/>
      <c r="P1" s="37"/>
      <c r="Q1" s="37"/>
      <c r="R1" s="37"/>
      <c r="S1" s="37"/>
      <c r="T1" s="37"/>
      <c r="U1" s="37"/>
      <c r="V1" s="37"/>
      <c r="W1" s="37"/>
      <c r="X1" s="37"/>
    </row>
    <row r="2" spans="1:24" x14ac:dyDescent="0.3">
      <c r="A2" s="37"/>
      <c r="B2" s="37"/>
      <c r="C2" s="37"/>
      <c r="D2" s="37"/>
      <c r="E2" s="37"/>
      <c r="F2" s="37"/>
      <c r="G2" s="37"/>
      <c r="H2" s="37"/>
      <c r="I2" s="37"/>
      <c r="J2" s="37"/>
      <c r="K2" s="37"/>
      <c r="L2" s="37"/>
      <c r="M2" s="37"/>
      <c r="N2" s="37"/>
      <c r="O2" s="37"/>
      <c r="P2" s="37"/>
      <c r="Q2" s="37"/>
      <c r="R2" s="37"/>
      <c r="S2" s="37"/>
      <c r="T2" s="37"/>
      <c r="U2" s="37"/>
      <c r="V2" s="37"/>
      <c r="W2" s="37"/>
      <c r="X2" s="37"/>
    </row>
    <row r="3" spans="1:24" x14ac:dyDescent="0.3">
      <c r="A3" s="38"/>
      <c r="B3" s="38"/>
      <c r="C3" s="38"/>
      <c r="D3" s="38"/>
      <c r="E3" s="38"/>
      <c r="F3" s="38"/>
      <c r="G3" s="38"/>
      <c r="H3" s="38"/>
      <c r="I3" s="38"/>
      <c r="J3" s="38"/>
      <c r="K3" s="38"/>
      <c r="L3" s="38"/>
      <c r="M3" s="38"/>
      <c r="N3" s="38"/>
      <c r="O3" s="38"/>
      <c r="P3" s="38"/>
      <c r="Q3" s="38"/>
      <c r="R3" s="38"/>
      <c r="S3" s="38"/>
      <c r="T3" s="38"/>
      <c r="U3" s="38"/>
      <c r="V3" s="38"/>
      <c r="W3" s="38"/>
      <c r="X3" s="38"/>
    </row>
    <row r="4" spans="1:24" x14ac:dyDescent="0.3">
      <c r="A4" s="38"/>
      <c r="B4" s="38"/>
      <c r="C4" s="38"/>
      <c r="D4" s="38"/>
      <c r="E4" s="38"/>
      <c r="F4" s="38"/>
      <c r="G4" s="38"/>
      <c r="H4" s="38"/>
      <c r="I4" s="38"/>
      <c r="J4" s="38"/>
      <c r="K4" s="38"/>
      <c r="L4" s="38"/>
      <c r="M4" s="38"/>
      <c r="N4" s="38"/>
      <c r="O4" s="38"/>
      <c r="P4" s="38"/>
      <c r="Q4" s="38"/>
      <c r="R4" s="38"/>
      <c r="S4" s="38"/>
      <c r="T4" s="38"/>
      <c r="U4" s="38"/>
      <c r="V4" s="38"/>
      <c r="W4" s="38"/>
      <c r="X4" s="38"/>
    </row>
    <row r="5" spans="1:24" x14ac:dyDescent="0.3">
      <c r="A5" s="38"/>
      <c r="B5" s="38"/>
      <c r="C5" s="38"/>
      <c r="D5" s="38"/>
      <c r="E5" s="38"/>
      <c r="F5" s="38"/>
      <c r="G5" s="38"/>
      <c r="H5" s="38"/>
      <c r="I5" s="38"/>
      <c r="J5" s="38"/>
      <c r="K5" s="38"/>
      <c r="L5" s="38"/>
      <c r="M5" s="38"/>
      <c r="N5" s="38"/>
      <c r="O5" s="38"/>
      <c r="P5" s="38"/>
      <c r="Q5" s="38"/>
      <c r="R5" s="38"/>
      <c r="S5" s="38"/>
      <c r="T5" s="38"/>
      <c r="U5" s="38"/>
      <c r="V5" s="38"/>
      <c r="W5" s="38"/>
      <c r="X5" s="38"/>
    </row>
    <row r="6" spans="1:24" x14ac:dyDescent="0.3">
      <c r="A6" s="38"/>
      <c r="B6" s="38"/>
      <c r="C6" s="38"/>
      <c r="D6" s="38"/>
      <c r="E6" s="38"/>
      <c r="F6" s="38"/>
      <c r="G6" s="38"/>
      <c r="H6" s="38"/>
      <c r="I6" s="38"/>
      <c r="J6" s="38"/>
      <c r="K6" s="38"/>
      <c r="L6" s="38"/>
      <c r="M6" s="38"/>
      <c r="N6" s="38"/>
      <c r="O6" s="38"/>
      <c r="P6" s="38"/>
      <c r="Q6" s="38"/>
      <c r="R6" s="38"/>
      <c r="S6" s="38"/>
      <c r="T6" s="38"/>
      <c r="U6" s="38"/>
      <c r="V6" s="38"/>
      <c r="W6" s="38"/>
      <c r="X6" s="38"/>
    </row>
  </sheetData>
  <mergeCells count="2">
    <mergeCell ref="A1:X2"/>
    <mergeCell ref="A3:X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1720861C-E0D0-415E-92BF-37045BE6215A}">
  <ds:schemaRefs/>
</ds:datastoreItem>
</file>

<file path=customXml/itemProps2.xml><?xml version="1.0" encoding="utf-8"?>
<ds:datastoreItem xmlns:ds="http://schemas.openxmlformats.org/officeDocument/2006/customXml" ds:itemID="{1FEED151-BAF2-4AD1-9724-71E862BC19DD}">
  <ds:schemaRefs/>
</ds:datastoreItem>
</file>

<file path=customXml/itemProps3.xml><?xml version="1.0" encoding="utf-8"?>
<ds:datastoreItem xmlns:ds="http://schemas.openxmlformats.org/officeDocument/2006/customXml" ds:itemID="{1D1FA864-D490-41BA-90F0-A22ABF88D073}">
  <ds:schemaRefs/>
</ds:datastoreItem>
</file>

<file path=customXml/itemProps4.xml><?xml version="1.0" encoding="utf-8"?>
<ds:datastoreItem xmlns:ds="http://schemas.openxmlformats.org/officeDocument/2006/customXml" ds:itemID="{7A007195-8D36-40FD-9C30-18679608E66F}">
  <ds:schemaRefs/>
</ds:datastoreItem>
</file>

<file path=customXml/itemProps5.xml><?xml version="1.0" encoding="utf-8"?>
<ds:datastoreItem xmlns:ds="http://schemas.openxmlformats.org/officeDocument/2006/customXml" ds:itemID="{18507D76-E6CC-41C5-8220-173497BE2125}">
  <ds:schemaRefs/>
</ds:datastoreItem>
</file>

<file path=customXml/itemProps6.xml><?xml version="1.0" encoding="utf-8"?>
<ds:datastoreItem xmlns:ds="http://schemas.openxmlformats.org/officeDocument/2006/customXml" ds:itemID="{D4DBDE68-A7E3-442E-A050-69D991FC8098}">
  <ds:schemaRefs/>
</ds:datastoreItem>
</file>

<file path=customXml/itemProps7.xml><?xml version="1.0" encoding="utf-8"?>
<ds:datastoreItem xmlns:ds="http://schemas.openxmlformats.org/officeDocument/2006/customXml" ds:itemID="{915C7ADD-D037-40EF-A935-61BB26FFCAB3}">
  <ds:schemaRefs/>
</ds:datastoreItem>
</file>

<file path=customXml/itemProps8.xml><?xml version="1.0" encoding="utf-8"?>
<ds:datastoreItem xmlns:ds="http://schemas.openxmlformats.org/officeDocument/2006/customXml" ds:itemID="{8EAC5BEC-4661-4F86-A41B-A0C8DA8C0973}">
  <ds:schemaRefs/>
</ds:datastoreItem>
</file>

<file path=customXml/itemProps9.xml><?xml version="1.0" encoding="utf-8"?>
<ds:datastoreItem xmlns:ds="http://schemas.openxmlformats.org/officeDocument/2006/customXml" ds:itemID="{4B1B32CC-42CE-4BA5-B699-4087718586DF}">
  <ds:schemaRefs/>
</ds:datastoreItem>
</file>

<file path=customXml/itemProps10.xml><?xml version="1.0" encoding="utf-8"?>
<ds:datastoreItem xmlns:ds="http://schemas.openxmlformats.org/officeDocument/2006/customXml" ds:itemID="{81FA98A2-AF5C-4463-96EF-AD1AA67077DD}">
  <ds:schemaRefs/>
</ds:datastoreItem>
</file>

<file path=customXml/itemProps11.xml><?xml version="1.0" encoding="utf-8"?>
<ds:datastoreItem xmlns:ds="http://schemas.openxmlformats.org/officeDocument/2006/customXml" ds:itemID="{0D0CC03C-50B3-4ACC-9339-4051834849A6}">
  <ds:schemaRefs/>
</ds:datastoreItem>
</file>

<file path=customXml/itemProps12.xml><?xml version="1.0" encoding="utf-8"?>
<ds:datastoreItem xmlns:ds="http://schemas.openxmlformats.org/officeDocument/2006/customXml" ds:itemID="{E4DD4F70-24E7-4B7C-BADF-71E0B04EF237}">
  <ds:schemaRefs/>
</ds:datastoreItem>
</file>

<file path=customXml/itemProps13.xml><?xml version="1.0" encoding="utf-8"?>
<ds:datastoreItem xmlns:ds="http://schemas.openxmlformats.org/officeDocument/2006/customXml" ds:itemID="{E1FF0708-75D7-4E72-859D-B08053AA826A}">
  <ds:schemaRefs/>
</ds:datastoreItem>
</file>

<file path=customXml/itemProps14.xml><?xml version="1.0" encoding="utf-8"?>
<ds:datastoreItem xmlns:ds="http://schemas.openxmlformats.org/officeDocument/2006/customXml" ds:itemID="{DBD76B9A-3616-4C47-9938-F8E1C51E1631}">
  <ds:schemaRefs/>
</ds:datastoreItem>
</file>

<file path=customXml/itemProps15.xml><?xml version="1.0" encoding="utf-8"?>
<ds:datastoreItem xmlns:ds="http://schemas.openxmlformats.org/officeDocument/2006/customXml" ds:itemID="{C4F68FF8-6D5B-424C-AB1C-3291B85C19A5}">
  <ds:schemaRefs/>
</ds:datastoreItem>
</file>

<file path=customXml/itemProps16.xml><?xml version="1.0" encoding="utf-8"?>
<ds:datastoreItem xmlns:ds="http://schemas.openxmlformats.org/officeDocument/2006/customXml" ds:itemID="{29BF13DE-2061-45C5-9541-7D03744387E2}">
  <ds:schemaRefs/>
</ds:datastoreItem>
</file>

<file path=customXml/itemProps17.xml><?xml version="1.0" encoding="utf-8"?>
<ds:datastoreItem xmlns:ds="http://schemas.openxmlformats.org/officeDocument/2006/customXml" ds:itemID="{57549C89-1F3B-4883-BD4C-F71FCC6764F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YOUR_TASKS_README</vt:lpstr>
      <vt:lpstr>RAW_Sales_Data</vt:lpstr>
      <vt:lpstr>Monthly_Targets</vt:lpstr>
      <vt:lpstr>Expenses_Data</vt:lpstr>
      <vt:lpstr>Analysis</vt:lpstr>
      <vt:lpstr>Pivot_Analysis</vt:lpstr>
      <vt:lpstr>Sheet5</vt:lpstr>
      <vt:lpstr>DASHBOARD</vt: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MUHAMMED RIYAN</cp:lastModifiedBy>
  <dcterms:created xsi:type="dcterms:W3CDTF">2026-04-26T19:01:16Z</dcterms:created>
  <dcterms:modified xsi:type="dcterms:W3CDTF">2026-04-29T05:38:39Z</dcterms:modified>
</cp:coreProperties>
</file>